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FEF21A0-D1E4-4530-B608-6FAD8A84563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Uylar royxati" sheetId="1" r:id="rId1"/>
    <sheet name="Users" sheetId="2" r:id="rId2"/>
    <sheet name="Settings" sheetId="3" r:id="rId3"/>
  </sheets>
  <definedNames>
    <definedName name="_xlnm._FilterDatabase" localSheetId="0" hidden="1">'Uylar royxati'!$A$1:$Z$321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21" i="1" l="1" a="1"/>
  <c r="H321" i="1"/>
  <c r="I321" i="1" s="1"/>
  <c r="H320" i="1" a="1"/>
  <c r="H320" i="1"/>
  <c r="I320" i="1" s="1"/>
  <c r="H319" i="1" a="1"/>
  <c r="H319" i="1"/>
  <c r="I319" i="1" s="1"/>
  <c r="H318" i="1" a="1"/>
  <c r="H318" i="1"/>
  <c r="I318" i="1" s="1"/>
  <c r="H317" i="1" a="1"/>
  <c r="H317" i="1"/>
  <c r="I317" i="1" s="1"/>
  <c r="H316" i="1" a="1"/>
  <c r="H316" i="1"/>
  <c r="I316" i="1" s="1"/>
  <c r="H315" i="1" a="1"/>
  <c r="H315" i="1"/>
  <c r="I315" i="1" s="1"/>
  <c r="H314" i="1" a="1"/>
  <c r="H314" i="1"/>
  <c r="I314" i="1" s="1"/>
  <c r="H313" i="1" a="1"/>
  <c r="H313" i="1"/>
  <c r="I313" i="1" s="1"/>
  <c r="H312" i="1" a="1"/>
  <c r="H312" i="1"/>
  <c r="I312" i="1" s="1"/>
  <c r="H311" i="1" a="1"/>
  <c r="H311" i="1"/>
  <c r="I311" i="1" s="1"/>
  <c r="H310" i="1" a="1"/>
  <c r="H310" i="1"/>
  <c r="I310" i="1" s="1"/>
  <c r="H309" i="1" a="1"/>
  <c r="H309" i="1"/>
  <c r="I309" i="1" s="1"/>
  <c r="H308" i="1" a="1"/>
  <c r="H308" i="1"/>
  <c r="I308" i="1" s="1"/>
  <c r="H307" i="1" a="1"/>
  <c r="H307" i="1"/>
  <c r="I307" i="1" s="1"/>
  <c r="H306" i="1" a="1"/>
  <c r="H306" i="1"/>
  <c r="I306" i="1" s="1"/>
  <c r="H305" i="1" a="1"/>
  <c r="H305" i="1"/>
  <c r="I305" i="1" s="1"/>
  <c r="H304" i="1" a="1"/>
  <c r="H304" i="1"/>
  <c r="I304" i="1" s="1"/>
  <c r="H303" i="1" a="1"/>
  <c r="H303" i="1"/>
  <c r="I303" i="1" s="1"/>
  <c r="H302" i="1" a="1"/>
  <c r="H302" i="1"/>
  <c r="I302" i="1" s="1"/>
  <c r="H301" i="1" a="1"/>
  <c r="H301" i="1"/>
  <c r="I301" i="1" s="1"/>
  <c r="H300" i="1" a="1"/>
  <c r="H300" i="1"/>
  <c r="I300" i="1" s="1"/>
  <c r="H299" i="1" a="1"/>
  <c r="H299" i="1"/>
  <c r="I299" i="1" s="1"/>
  <c r="H298" i="1" a="1"/>
  <c r="H298" i="1"/>
  <c r="I298" i="1" s="1"/>
  <c r="H297" i="1" a="1"/>
  <c r="H297" i="1"/>
  <c r="I297" i="1" s="1"/>
  <c r="H296" i="1" a="1"/>
  <c r="H296" i="1"/>
  <c r="I296" i="1" s="1"/>
  <c r="H295" i="1" a="1"/>
  <c r="H295" i="1"/>
  <c r="I295" i="1" s="1"/>
  <c r="H294" i="1" a="1"/>
  <c r="H294" i="1"/>
  <c r="I294" i="1" s="1"/>
  <c r="H293" i="1" a="1"/>
  <c r="H293" i="1"/>
  <c r="I293" i="1" s="1"/>
  <c r="H292" i="1" a="1"/>
  <c r="H292" i="1"/>
  <c r="I292" i="1" s="1"/>
  <c r="H291" i="1" a="1"/>
  <c r="H291" i="1"/>
  <c r="I291" i="1" s="1"/>
  <c r="H290" i="1" a="1"/>
  <c r="H290" i="1"/>
  <c r="I290" i="1" s="1"/>
  <c r="H289" i="1" a="1"/>
  <c r="H289" i="1"/>
  <c r="I289" i="1" s="1"/>
  <c r="H288" i="1" a="1"/>
  <c r="H288" i="1"/>
  <c r="I288" i="1" s="1"/>
  <c r="H287" i="1" a="1"/>
  <c r="H287" i="1"/>
  <c r="I287" i="1" s="1"/>
  <c r="H286" i="1" a="1"/>
  <c r="H286" i="1"/>
  <c r="I286" i="1" s="1"/>
  <c r="H285" i="1" a="1"/>
  <c r="H285" i="1"/>
  <c r="I285" i="1" s="1"/>
  <c r="H284" i="1" a="1"/>
  <c r="H284" i="1"/>
  <c r="I284" i="1" s="1"/>
  <c r="H283" i="1" a="1"/>
  <c r="H283" i="1"/>
  <c r="I283" i="1" s="1"/>
  <c r="H282" i="1" a="1"/>
  <c r="H282" i="1"/>
  <c r="I282" i="1" s="1"/>
  <c r="H281" i="1" a="1"/>
  <c r="H281" i="1"/>
  <c r="I281" i="1" s="1"/>
  <c r="H280" i="1" a="1"/>
  <c r="H280" i="1"/>
  <c r="I280" i="1" s="1"/>
  <c r="H279" i="1" a="1"/>
  <c r="H279" i="1"/>
  <c r="I279" i="1" s="1"/>
  <c r="H278" i="1" a="1"/>
  <c r="H278" i="1"/>
  <c r="I278" i="1" s="1"/>
  <c r="H277" i="1" a="1"/>
  <c r="H277" i="1"/>
  <c r="I277" i="1" s="1"/>
  <c r="H276" i="1" a="1"/>
  <c r="H276" i="1"/>
  <c r="I276" i="1" s="1"/>
  <c r="H275" i="1" a="1"/>
  <c r="H275" i="1" s="1"/>
  <c r="I275" i="1" s="1"/>
  <c r="I274" i="1"/>
  <c r="H274" i="1" a="1"/>
  <c r="H274" i="1"/>
  <c r="H273" i="1" a="1"/>
  <c r="H273" i="1"/>
  <c r="I273" i="1" s="1"/>
  <c r="H272" i="1" a="1"/>
  <c r="H272" i="1"/>
  <c r="I272" i="1" s="1"/>
  <c r="H271" i="1" a="1"/>
  <c r="H271" i="1"/>
  <c r="I271" i="1" s="1"/>
  <c r="H270" i="1" a="1"/>
  <c r="H270" i="1"/>
  <c r="I270" i="1" s="1"/>
  <c r="H269" i="1" a="1"/>
  <c r="H269" i="1"/>
  <c r="I269" i="1" s="1"/>
  <c r="H268" i="1" a="1"/>
  <c r="H268" i="1"/>
  <c r="I268" i="1" s="1"/>
  <c r="I267" i="1"/>
  <c r="H267" i="1" a="1"/>
  <c r="H267" i="1"/>
  <c r="H266" i="1" a="1"/>
  <c r="H266" i="1"/>
  <c r="I266" i="1" s="1"/>
  <c r="H265" i="1" a="1"/>
  <c r="H265" i="1"/>
  <c r="I265" i="1" s="1"/>
  <c r="H264" i="1" a="1"/>
  <c r="H264" i="1"/>
  <c r="I264" i="1" s="1"/>
  <c r="H263" i="1" a="1"/>
  <c r="H263" i="1"/>
  <c r="I263" i="1" s="1"/>
  <c r="H262" i="1" a="1"/>
  <c r="H262" i="1"/>
  <c r="I262" i="1" s="1"/>
  <c r="H261" i="1" a="1"/>
  <c r="H261" i="1"/>
  <c r="I261" i="1" s="1"/>
  <c r="H260" i="1" a="1"/>
  <c r="H260" i="1"/>
  <c r="I260" i="1" s="1"/>
  <c r="H259" i="1" a="1"/>
  <c r="H259" i="1"/>
  <c r="I259" i="1" s="1"/>
  <c r="H258" i="1" a="1"/>
  <c r="H258" i="1"/>
  <c r="I258" i="1" s="1"/>
  <c r="H257" i="1" a="1"/>
  <c r="H257" i="1"/>
  <c r="I257" i="1" s="1"/>
  <c r="H256" i="1" a="1"/>
  <c r="H256" i="1"/>
  <c r="I256" i="1" s="1"/>
  <c r="H255" i="1" a="1"/>
  <c r="H255" i="1"/>
  <c r="I255" i="1" s="1"/>
  <c r="H254" i="1" a="1"/>
  <c r="H254" i="1"/>
  <c r="I254" i="1" s="1"/>
  <c r="H253" i="1" a="1"/>
  <c r="H253" i="1"/>
  <c r="I253" i="1" s="1"/>
  <c r="H252" i="1" a="1"/>
  <c r="H252" i="1"/>
  <c r="I252" i="1" s="1"/>
  <c r="H251" i="1" a="1"/>
  <c r="H251" i="1"/>
  <c r="I251" i="1" s="1"/>
  <c r="H250" i="1" a="1"/>
  <c r="H250" i="1"/>
  <c r="I250" i="1" s="1"/>
  <c r="H249" i="1" a="1"/>
  <c r="H249" i="1"/>
  <c r="I249" i="1" s="1"/>
  <c r="H248" i="1" a="1"/>
  <c r="H248" i="1"/>
  <c r="I248" i="1" s="1"/>
  <c r="H247" i="1" a="1"/>
  <c r="H247" i="1"/>
  <c r="I247" i="1" s="1"/>
  <c r="H246" i="1" a="1"/>
  <c r="H246" i="1"/>
  <c r="I246" i="1" s="1"/>
  <c r="H245" i="1" a="1"/>
  <c r="H245" i="1"/>
  <c r="I245" i="1" s="1"/>
  <c r="H244" i="1" a="1"/>
  <c r="H244" i="1"/>
  <c r="I244" i="1" s="1"/>
  <c r="H243" i="1" a="1"/>
  <c r="H243" i="1"/>
  <c r="I243" i="1" s="1"/>
  <c r="H242" i="1" a="1"/>
  <c r="H242" i="1"/>
  <c r="I242" i="1" s="1"/>
  <c r="H241" i="1" a="1"/>
  <c r="H241" i="1"/>
  <c r="I241" i="1" s="1"/>
  <c r="H240" i="1" a="1"/>
  <c r="H240" i="1"/>
  <c r="I240" i="1" s="1"/>
  <c r="H239" i="1" a="1"/>
  <c r="H239" i="1"/>
  <c r="I239" i="1" s="1"/>
  <c r="H238" i="1" a="1"/>
  <c r="H238" i="1"/>
  <c r="I238" i="1" s="1"/>
  <c r="H237" i="1" a="1"/>
  <c r="H237" i="1"/>
  <c r="I237" i="1" s="1"/>
  <c r="H236" i="1" a="1"/>
  <c r="H236" i="1"/>
  <c r="I236" i="1" s="1"/>
  <c r="H235" i="1" a="1"/>
  <c r="H235" i="1"/>
  <c r="I235" i="1" s="1"/>
  <c r="H234" i="1" a="1"/>
  <c r="H234" i="1"/>
  <c r="I234" i="1" s="1"/>
  <c r="H233" i="1" a="1"/>
  <c r="H233" i="1"/>
  <c r="I233" i="1" s="1"/>
  <c r="H232" i="1" a="1"/>
  <c r="H232" i="1"/>
  <c r="I232" i="1" s="1"/>
  <c r="H231" i="1" a="1"/>
  <c r="H231" i="1"/>
  <c r="I231" i="1" s="1"/>
  <c r="H230" i="1" a="1"/>
  <c r="H230" i="1"/>
  <c r="I230" i="1" s="1"/>
  <c r="H229" i="1" a="1"/>
  <c r="H229" i="1"/>
  <c r="I229" i="1" s="1"/>
  <c r="H228" i="1" a="1"/>
  <c r="H228" i="1"/>
  <c r="I228" i="1" s="1"/>
  <c r="H227" i="1" a="1"/>
  <c r="H227" i="1"/>
  <c r="I227" i="1" s="1"/>
  <c r="H226" i="1" a="1"/>
  <c r="H226" i="1"/>
  <c r="I226" i="1" s="1"/>
  <c r="H225" i="1" a="1"/>
  <c r="H225" i="1"/>
  <c r="I225" i="1" s="1"/>
  <c r="H224" i="1" a="1"/>
  <c r="H224" i="1"/>
  <c r="I224" i="1" s="1"/>
  <c r="H223" i="1" a="1"/>
  <c r="H223" i="1"/>
  <c r="I223" i="1" s="1"/>
  <c r="H222" i="1" a="1"/>
  <c r="H222" i="1"/>
  <c r="I222" i="1" s="1"/>
  <c r="J221" i="1"/>
  <c r="K221" i="1" s="1"/>
  <c r="V220" i="1"/>
  <c r="U220" i="1"/>
  <c r="H220" i="1" a="1"/>
  <c r="H220" i="1"/>
  <c r="I220" i="1" s="1"/>
  <c r="J219" i="1"/>
  <c r="K219" i="1" s="1"/>
  <c r="V218" i="1"/>
  <c r="U218" i="1"/>
  <c r="H218" i="1" a="1"/>
  <c r="H218" i="1" s="1"/>
  <c r="I218" i="1" s="1"/>
  <c r="J217" i="1"/>
  <c r="K217" i="1" s="1"/>
  <c r="V216" i="1"/>
  <c r="U216" i="1"/>
  <c r="H216" i="1" a="1"/>
  <c r="H216" i="1"/>
  <c r="I216" i="1" s="1"/>
  <c r="V215" i="1"/>
  <c r="U215" i="1"/>
  <c r="H215" i="1" a="1"/>
  <c r="H215" i="1"/>
  <c r="I215" i="1" s="1"/>
  <c r="V214" i="1"/>
  <c r="U214" i="1"/>
  <c r="H214" i="1" a="1"/>
  <c r="H214" i="1" s="1"/>
  <c r="I214" i="1" s="1"/>
  <c r="J213" i="1"/>
  <c r="J212" i="1"/>
  <c r="V211" i="1"/>
  <c r="U211" i="1"/>
  <c r="H211" i="1" a="1"/>
  <c r="H211" i="1"/>
  <c r="I211" i="1" s="1"/>
  <c r="V206" i="1"/>
  <c r="U206" i="1"/>
  <c r="H206" i="1" a="1"/>
  <c r="H206" i="1"/>
  <c r="I206" i="1" s="1"/>
  <c r="V204" i="1"/>
  <c r="U204" i="1"/>
  <c r="H204" i="1" a="1"/>
  <c r="H204" i="1"/>
  <c r="I204" i="1" s="1"/>
  <c r="V201" i="1"/>
  <c r="U201" i="1"/>
  <c r="H201" i="1" a="1"/>
  <c r="H201" i="1"/>
  <c r="I201" i="1" s="1"/>
  <c r="V199" i="1"/>
  <c r="U199" i="1"/>
  <c r="H199" i="1" a="1"/>
  <c r="H199" i="1"/>
  <c r="I199" i="1" s="1"/>
  <c r="V197" i="1"/>
  <c r="U197" i="1"/>
  <c r="H197" i="1" a="1"/>
  <c r="H197" i="1"/>
  <c r="I197" i="1" s="1"/>
  <c r="V194" i="1"/>
  <c r="U194" i="1"/>
  <c r="H194" i="1" a="1"/>
  <c r="H194" i="1" s="1"/>
  <c r="I194" i="1" s="1"/>
  <c r="V193" i="1"/>
  <c r="U193" i="1"/>
  <c r="H193" i="1" a="1"/>
  <c r="H193" i="1"/>
  <c r="I193" i="1" s="1"/>
  <c r="V190" i="1"/>
  <c r="U190" i="1"/>
  <c r="H190" i="1" a="1"/>
  <c r="H190" i="1" s="1"/>
  <c r="I190" i="1" s="1"/>
  <c r="V189" i="1"/>
  <c r="U189" i="1"/>
  <c r="H189" i="1" a="1"/>
  <c r="H189" i="1"/>
  <c r="I189" i="1" s="1"/>
  <c r="V186" i="1"/>
  <c r="U186" i="1"/>
  <c r="H186" i="1" a="1"/>
  <c r="H186" i="1" s="1"/>
  <c r="I186" i="1" s="1"/>
  <c r="V184" i="1"/>
  <c r="U184" i="1"/>
  <c r="H184" i="1" a="1"/>
  <c r="H184" i="1" s="1"/>
  <c r="I184" i="1" s="1"/>
  <c r="V183" i="1"/>
  <c r="U183" i="1"/>
  <c r="H183" i="1" a="1"/>
  <c r="H183" i="1"/>
  <c r="I183" i="1" s="1"/>
  <c r="V182" i="1"/>
  <c r="U182" i="1"/>
  <c r="H182" i="1" a="1"/>
  <c r="H182" i="1"/>
  <c r="I182" i="1" s="1"/>
  <c r="V181" i="1"/>
  <c r="U181" i="1"/>
  <c r="H181" i="1" a="1"/>
  <c r="H181" i="1"/>
  <c r="I181" i="1" s="1"/>
  <c r="V180" i="1"/>
  <c r="U180" i="1"/>
  <c r="H180" i="1" a="1"/>
  <c r="H180" i="1" s="1"/>
  <c r="I180" i="1" s="1"/>
  <c r="V179" i="1"/>
  <c r="U179" i="1"/>
  <c r="H179" i="1" a="1"/>
  <c r="H179" i="1" s="1"/>
  <c r="I179" i="1" s="1"/>
  <c r="V178" i="1"/>
  <c r="U178" i="1"/>
  <c r="I178" i="1"/>
  <c r="V176" i="1"/>
  <c r="U176" i="1"/>
  <c r="H176" i="1" a="1"/>
  <c r="H176" i="1"/>
  <c r="I176" i="1" s="1"/>
  <c r="V175" i="1"/>
  <c r="U175" i="1"/>
  <c r="H175" i="1" a="1"/>
  <c r="H175" i="1"/>
  <c r="I175" i="1" s="1"/>
  <c r="V172" i="1"/>
  <c r="U172" i="1"/>
  <c r="H172" i="1" a="1"/>
  <c r="H172" i="1"/>
  <c r="I172" i="1" s="1"/>
  <c r="V171" i="1"/>
  <c r="U171" i="1"/>
  <c r="H171" i="1" a="1"/>
  <c r="H171" i="1"/>
  <c r="I171" i="1" s="1"/>
  <c r="V170" i="1"/>
  <c r="U170" i="1"/>
  <c r="I170" i="1"/>
  <c r="V169" i="1"/>
  <c r="U169" i="1"/>
  <c r="H169" i="1" a="1"/>
  <c r="H169" i="1"/>
  <c r="I169" i="1" s="1"/>
  <c r="V168" i="1"/>
  <c r="U168" i="1"/>
  <c r="H168" i="1" a="1"/>
  <c r="H168" i="1"/>
  <c r="I168" i="1" s="1"/>
  <c r="V167" i="1"/>
  <c r="U167" i="1"/>
  <c r="H167" i="1" a="1"/>
  <c r="H167" i="1"/>
  <c r="I167" i="1" s="1"/>
  <c r="V166" i="1"/>
  <c r="U166" i="1"/>
  <c r="H166" i="1" a="1"/>
  <c r="H166" i="1" s="1"/>
  <c r="I166" i="1" s="1"/>
  <c r="V165" i="1"/>
  <c r="U165" i="1"/>
  <c r="H165" i="1" a="1"/>
  <c r="H165" i="1" s="1"/>
  <c r="I165" i="1" s="1"/>
  <c r="V164" i="1"/>
  <c r="U164" i="1"/>
  <c r="H164" i="1" a="1"/>
  <c r="H164" i="1" s="1"/>
  <c r="I164" i="1" s="1"/>
  <c r="V163" i="1"/>
  <c r="U163" i="1"/>
  <c r="H163" i="1" a="1"/>
  <c r="H163" i="1"/>
  <c r="I163" i="1" s="1"/>
  <c r="V161" i="1"/>
  <c r="U161" i="1"/>
  <c r="H161" i="1" a="1"/>
  <c r="H161" i="1"/>
  <c r="I161" i="1" s="1"/>
  <c r="V160" i="1"/>
  <c r="U160" i="1"/>
  <c r="H160" i="1" a="1"/>
  <c r="H160" i="1" s="1"/>
  <c r="I160" i="1" s="1"/>
  <c r="V159" i="1"/>
  <c r="U159" i="1"/>
  <c r="H159" i="1" a="1"/>
  <c r="H159" i="1" s="1"/>
  <c r="I159" i="1" s="1"/>
  <c r="V155" i="1"/>
  <c r="U155" i="1"/>
  <c r="H155" i="1" a="1"/>
  <c r="H155" i="1" s="1"/>
  <c r="I155" i="1" s="1"/>
  <c r="V153" i="1"/>
  <c r="U153" i="1"/>
  <c r="H153" i="1" a="1"/>
  <c r="H153" i="1"/>
  <c r="I153" i="1" s="1"/>
  <c r="V152" i="1"/>
  <c r="U152" i="1"/>
  <c r="H152" i="1" a="1"/>
  <c r="H152" i="1"/>
  <c r="I152" i="1" s="1"/>
  <c r="V151" i="1"/>
  <c r="U151" i="1"/>
  <c r="H151" i="1" a="1"/>
  <c r="H151" i="1"/>
  <c r="I151" i="1" s="1"/>
  <c r="V150" i="1"/>
  <c r="U150" i="1"/>
  <c r="H150" i="1" a="1"/>
  <c r="H150" i="1"/>
  <c r="I150" i="1" s="1"/>
  <c r="V149" i="1"/>
  <c r="U149" i="1"/>
  <c r="H149" i="1" a="1"/>
  <c r="H149" i="1"/>
  <c r="I149" i="1" s="1"/>
  <c r="V148" i="1"/>
  <c r="U148" i="1"/>
  <c r="I148" i="1"/>
  <c r="V147" i="1"/>
  <c r="U147" i="1"/>
  <c r="H147" i="1" a="1"/>
  <c r="H147" i="1"/>
  <c r="I147" i="1" s="1"/>
  <c r="V146" i="1"/>
  <c r="U146" i="1"/>
  <c r="H146" i="1" a="1"/>
  <c r="H146" i="1"/>
  <c r="I146" i="1" s="1"/>
  <c r="V140" i="1"/>
  <c r="U140" i="1"/>
  <c r="H140" i="1" a="1"/>
  <c r="H140" i="1"/>
  <c r="I140" i="1" s="1"/>
  <c r="V138" i="1"/>
  <c r="U138" i="1"/>
  <c r="H138" i="1" a="1"/>
  <c r="H138" i="1"/>
  <c r="I138" i="1" s="1"/>
  <c r="V137" i="1"/>
  <c r="U137" i="1"/>
  <c r="H137" i="1" a="1"/>
  <c r="H137" i="1"/>
  <c r="I137" i="1" s="1"/>
  <c r="V136" i="1"/>
  <c r="U136" i="1"/>
  <c r="I136" i="1"/>
  <c r="V135" i="1"/>
  <c r="U135" i="1"/>
  <c r="H135" i="1" a="1"/>
  <c r="H135" i="1"/>
  <c r="I135" i="1" s="1"/>
  <c r="V134" i="1"/>
  <c r="U134" i="1"/>
  <c r="H134" i="1" a="1"/>
  <c r="H134" i="1"/>
  <c r="I134" i="1" s="1"/>
  <c r="V133" i="1"/>
  <c r="U133" i="1"/>
  <c r="I133" i="1"/>
  <c r="V132" i="1"/>
  <c r="U132" i="1"/>
  <c r="I132" i="1"/>
  <c r="V131" i="1"/>
  <c r="U131" i="1"/>
  <c r="H131" i="1" a="1"/>
  <c r="H131" i="1"/>
  <c r="I131" i="1" s="1"/>
  <c r="V128" i="1"/>
  <c r="U128" i="1"/>
  <c r="H128" i="1" a="1"/>
  <c r="H128" i="1" s="1"/>
  <c r="I128" i="1" s="1"/>
  <c r="V127" i="1"/>
  <c r="U127" i="1"/>
  <c r="H127" i="1" a="1"/>
  <c r="H127" i="1" s="1"/>
  <c r="I127" i="1" s="1"/>
  <c r="V126" i="1"/>
  <c r="U126" i="1"/>
  <c r="H126" i="1" a="1"/>
  <c r="H126" i="1" s="1"/>
  <c r="I126" i="1" s="1"/>
  <c r="V125" i="1"/>
  <c r="U125" i="1"/>
  <c r="I125" i="1"/>
  <c r="H125" i="1" a="1"/>
  <c r="H125" i="1"/>
  <c r="V123" i="1"/>
  <c r="U123" i="1"/>
  <c r="H123" i="1" a="1"/>
  <c r="H123" i="1" s="1"/>
  <c r="I123" i="1" s="1"/>
  <c r="V122" i="1"/>
  <c r="U122" i="1"/>
  <c r="H122" i="1" a="1"/>
  <c r="H122" i="1"/>
  <c r="I122" i="1" s="1"/>
  <c r="V121" i="1"/>
  <c r="U121" i="1"/>
  <c r="I121" i="1"/>
  <c r="V120" i="1"/>
  <c r="U120" i="1"/>
  <c r="H120" i="1" a="1"/>
  <c r="H120" i="1" s="1"/>
  <c r="I120" i="1" s="1"/>
  <c r="V119" i="1"/>
  <c r="U119" i="1"/>
  <c r="H119" i="1" a="1"/>
  <c r="H119" i="1"/>
  <c r="I119" i="1" s="1"/>
  <c r="V118" i="1"/>
  <c r="U118" i="1"/>
  <c r="H118" i="1" a="1"/>
  <c r="H118" i="1"/>
  <c r="I118" i="1" s="1"/>
  <c r="V110" i="1"/>
  <c r="U110" i="1"/>
  <c r="H110" i="1" a="1"/>
  <c r="H110" i="1"/>
  <c r="I110" i="1" s="1"/>
  <c r="V109" i="1"/>
  <c r="U109" i="1"/>
  <c r="H109" i="1" a="1"/>
  <c r="H109" i="1"/>
  <c r="I109" i="1" s="1"/>
  <c r="V108" i="1"/>
  <c r="U108" i="1"/>
  <c r="H108" i="1" a="1"/>
  <c r="H108" i="1"/>
  <c r="I108" i="1" s="1"/>
  <c r="V107" i="1"/>
  <c r="U107" i="1"/>
  <c r="H107" i="1" a="1"/>
  <c r="H107" i="1"/>
  <c r="I107" i="1" s="1"/>
  <c r="V106" i="1"/>
  <c r="U106" i="1"/>
  <c r="H106" i="1" a="1"/>
  <c r="H106" i="1"/>
  <c r="I106" i="1" s="1"/>
  <c r="V105" i="1"/>
  <c r="U105" i="1"/>
  <c r="H105" i="1" a="1"/>
  <c r="H105" i="1"/>
  <c r="I105" i="1" s="1"/>
  <c r="V104" i="1"/>
  <c r="U104" i="1"/>
  <c r="H104" i="1" a="1"/>
  <c r="H104" i="1"/>
  <c r="I104" i="1" s="1"/>
  <c r="V103" i="1"/>
  <c r="U103" i="1"/>
  <c r="H103" i="1" a="1"/>
  <c r="H103" i="1"/>
  <c r="I103" i="1" s="1"/>
  <c r="V102" i="1"/>
  <c r="U102" i="1"/>
  <c r="H102" i="1" a="1"/>
  <c r="H102" i="1"/>
  <c r="I102" i="1" s="1"/>
  <c r="V101" i="1"/>
  <c r="U101" i="1"/>
  <c r="H101" i="1" a="1"/>
  <c r="H101" i="1"/>
  <c r="I101" i="1" s="1"/>
  <c r="V100" i="1"/>
  <c r="U100" i="1"/>
  <c r="H100" i="1" a="1"/>
  <c r="H100" i="1"/>
  <c r="I100" i="1" s="1"/>
  <c r="V95" i="1"/>
  <c r="U95" i="1"/>
  <c r="H95" i="1" a="1"/>
  <c r="H95" i="1" s="1"/>
  <c r="I95" i="1" s="1"/>
  <c r="V93" i="1"/>
  <c r="U93" i="1"/>
  <c r="H93" i="1" a="1"/>
  <c r="H93" i="1" s="1"/>
  <c r="I93" i="1" s="1"/>
  <c r="V92" i="1"/>
  <c r="U92" i="1"/>
  <c r="H92" i="1" a="1"/>
  <c r="H92" i="1"/>
  <c r="I92" i="1" s="1"/>
  <c r="V91" i="1"/>
  <c r="U91" i="1"/>
  <c r="H91" i="1" a="1"/>
  <c r="H91" i="1"/>
  <c r="I91" i="1" s="1"/>
  <c r="V90" i="1"/>
  <c r="U90" i="1"/>
  <c r="H90" i="1" a="1"/>
  <c r="H90" i="1"/>
  <c r="I90" i="1" s="1"/>
  <c r="V89" i="1"/>
  <c r="U89" i="1"/>
  <c r="H89" i="1" a="1"/>
  <c r="H89" i="1"/>
  <c r="I89" i="1" s="1"/>
  <c r="V88" i="1"/>
  <c r="U88" i="1"/>
  <c r="H88" i="1" a="1"/>
  <c r="H88" i="1" s="1"/>
  <c r="I88" i="1" s="1"/>
  <c r="V87" i="1"/>
  <c r="U87" i="1"/>
  <c r="H87" i="1" a="1"/>
  <c r="H87" i="1" s="1"/>
  <c r="I87" i="1" s="1"/>
  <c r="V85" i="1"/>
  <c r="U85" i="1"/>
  <c r="J85" i="1"/>
  <c r="K85" i="1" s="1"/>
  <c r="V84" i="1"/>
  <c r="U84" i="1"/>
  <c r="H84" i="1" a="1"/>
  <c r="H84" i="1"/>
  <c r="I84" i="1" s="1"/>
  <c r="V81" i="1"/>
  <c r="U81" i="1"/>
  <c r="H81" i="1" a="1"/>
  <c r="H81" i="1"/>
  <c r="I81" i="1" s="1"/>
  <c r="V80" i="1"/>
  <c r="U80" i="1"/>
  <c r="H80" i="1" a="1"/>
  <c r="H80" i="1"/>
  <c r="I80" i="1" s="1"/>
  <c r="V79" i="1"/>
  <c r="U79" i="1"/>
  <c r="H79" i="1" a="1"/>
  <c r="H79" i="1"/>
  <c r="I79" i="1" s="1"/>
  <c r="V78" i="1"/>
  <c r="U78" i="1"/>
  <c r="H78" i="1" a="1"/>
  <c r="H78" i="1"/>
  <c r="I78" i="1" s="1"/>
  <c r="V77" i="1"/>
  <c r="U77" i="1"/>
  <c r="H77" i="1" a="1"/>
  <c r="H77" i="1"/>
  <c r="I77" i="1" s="1"/>
  <c r="V76" i="1"/>
  <c r="U76" i="1"/>
  <c r="H76" i="1" a="1"/>
  <c r="H76" i="1"/>
  <c r="I76" i="1" s="1"/>
  <c r="V75" i="1"/>
  <c r="U75" i="1"/>
  <c r="H75" i="1" a="1"/>
  <c r="H75" i="1"/>
  <c r="I75" i="1" s="1"/>
  <c r="V74" i="1"/>
  <c r="U74" i="1"/>
  <c r="H74" i="1" a="1"/>
  <c r="H74" i="1"/>
  <c r="I74" i="1" s="1"/>
  <c r="V73" i="1"/>
  <c r="U73" i="1"/>
  <c r="H73" i="1" a="1"/>
  <c r="H73" i="1"/>
  <c r="I73" i="1" s="1"/>
  <c r="V72" i="1"/>
  <c r="U72" i="1"/>
  <c r="H72" i="1" a="1"/>
  <c r="H72" i="1"/>
  <c r="I72" i="1" s="1"/>
  <c r="V71" i="1"/>
  <c r="U71" i="1"/>
  <c r="H71" i="1" a="1"/>
  <c r="H71" i="1"/>
  <c r="I71" i="1" s="1"/>
  <c r="V70" i="1"/>
  <c r="U70" i="1"/>
  <c r="H70" i="1" a="1"/>
  <c r="H70" i="1"/>
  <c r="I70" i="1" s="1"/>
  <c r="V69" i="1"/>
  <c r="U69" i="1"/>
  <c r="H69" i="1" a="1"/>
  <c r="H69" i="1"/>
  <c r="I69" i="1" s="1"/>
  <c r="V68" i="1"/>
  <c r="U68" i="1"/>
  <c r="H68" i="1" a="1"/>
  <c r="H68" i="1"/>
  <c r="I68" i="1" s="1"/>
  <c r="V67" i="1"/>
  <c r="U67" i="1"/>
  <c r="H67" i="1" a="1"/>
  <c r="H67" i="1" s="1"/>
  <c r="I67" i="1" s="1"/>
  <c r="V66" i="1"/>
  <c r="U66" i="1"/>
  <c r="H66" i="1" a="1"/>
  <c r="H66" i="1" s="1"/>
  <c r="I66" i="1" s="1"/>
  <c r="V65" i="1"/>
  <c r="U65" i="1"/>
  <c r="H65" i="1" a="1"/>
  <c r="H65" i="1"/>
  <c r="I65" i="1" s="1"/>
  <c r="V64" i="1"/>
  <c r="U64" i="1"/>
  <c r="H64" i="1" a="1"/>
  <c r="H64" i="1" s="1"/>
  <c r="I64" i="1" s="1"/>
  <c r="V63" i="1"/>
  <c r="U63" i="1"/>
  <c r="H63" i="1" a="1"/>
  <c r="H63" i="1" s="1"/>
  <c r="I63" i="1" s="1"/>
  <c r="V61" i="1"/>
  <c r="U61" i="1"/>
  <c r="H61" i="1" a="1"/>
  <c r="H61" i="1"/>
  <c r="I61" i="1" s="1"/>
  <c r="V60" i="1"/>
  <c r="U60" i="1"/>
  <c r="H60" i="1" a="1"/>
  <c r="H60" i="1"/>
  <c r="I60" i="1" s="1"/>
  <c r="V59" i="1"/>
  <c r="U59" i="1"/>
  <c r="H59" i="1" a="1"/>
  <c r="H59" i="1"/>
  <c r="I59" i="1" s="1"/>
  <c r="V58" i="1"/>
  <c r="U58" i="1"/>
  <c r="H58" i="1" a="1"/>
  <c r="H58" i="1"/>
  <c r="I58" i="1" s="1"/>
  <c r="V57" i="1"/>
  <c r="U57" i="1"/>
  <c r="H57" i="1" a="1"/>
  <c r="H57" i="1"/>
  <c r="I57" i="1" s="1"/>
  <c r="V56" i="1"/>
  <c r="U56" i="1"/>
  <c r="H56" i="1" a="1"/>
  <c r="H56" i="1"/>
  <c r="I56" i="1" s="1"/>
  <c r="V55" i="1"/>
  <c r="U55" i="1"/>
  <c r="H55" i="1" a="1"/>
  <c r="H55" i="1"/>
  <c r="I55" i="1" s="1"/>
  <c r="V54" i="1"/>
  <c r="U54" i="1"/>
  <c r="H54" i="1" a="1"/>
  <c r="H54" i="1"/>
  <c r="I54" i="1" s="1"/>
  <c r="V53" i="1"/>
  <c r="U53" i="1"/>
  <c r="H53" i="1" a="1"/>
  <c r="H53" i="1"/>
  <c r="I53" i="1" s="1"/>
  <c r="V52" i="1"/>
  <c r="U52" i="1"/>
  <c r="H52" i="1" a="1"/>
  <c r="H52" i="1"/>
  <c r="I52" i="1" s="1"/>
  <c r="V51" i="1"/>
  <c r="U51" i="1"/>
  <c r="H51" i="1" a="1"/>
  <c r="H51" i="1"/>
  <c r="I51" i="1" s="1"/>
  <c r="V50" i="1"/>
  <c r="U50" i="1"/>
  <c r="H50" i="1" a="1"/>
  <c r="H50" i="1"/>
  <c r="I50" i="1" s="1"/>
  <c r="V49" i="1"/>
  <c r="U49" i="1"/>
  <c r="H49" i="1" a="1"/>
  <c r="H49" i="1"/>
  <c r="I49" i="1" s="1"/>
  <c r="V48" i="1"/>
  <c r="U48" i="1"/>
  <c r="H48" i="1" a="1"/>
  <c r="H48" i="1"/>
  <c r="I48" i="1" s="1"/>
  <c r="V47" i="1"/>
  <c r="U47" i="1"/>
  <c r="H47" i="1" a="1"/>
  <c r="H47" i="1"/>
  <c r="I47" i="1" s="1"/>
  <c r="V46" i="1"/>
  <c r="U46" i="1"/>
  <c r="H46" i="1" a="1"/>
  <c r="H46" i="1" s="1"/>
  <c r="I46" i="1" s="1"/>
  <c r="V45" i="1"/>
  <c r="U45" i="1"/>
  <c r="H45" i="1" a="1"/>
  <c r="H45" i="1" s="1"/>
  <c r="I45" i="1" s="1"/>
  <c r="V44" i="1"/>
  <c r="U44" i="1"/>
  <c r="H44" i="1" a="1"/>
  <c r="H44" i="1" s="1"/>
  <c r="I44" i="1" s="1"/>
  <c r="V43" i="1"/>
  <c r="U43" i="1"/>
  <c r="H43" i="1" a="1"/>
  <c r="H43" i="1" s="1"/>
  <c r="I43" i="1" s="1"/>
  <c r="V42" i="1"/>
  <c r="U42" i="1"/>
  <c r="H42" i="1" a="1"/>
  <c r="H42" i="1"/>
  <c r="I42" i="1" s="1"/>
  <c r="V41" i="1"/>
  <c r="U41" i="1"/>
  <c r="H41" i="1" a="1"/>
  <c r="H41" i="1"/>
  <c r="I41" i="1" s="1"/>
  <c r="V40" i="1"/>
  <c r="U40" i="1"/>
  <c r="H40" i="1" a="1"/>
  <c r="H40" i="1"/>
  <c r="I40" i="1" s="1"/>
  <c r="V39" i="1"/>
  <c r="U39" i="1"/>
  <c r="H39" i="1" a="1"/>
  <c r="H39" i="1"/>
  <c r="I39" i="1" s="1"/>
  <c r="V38" i="1"/>
  <c r="U38" i="1"/>
  <c r="H38" i="1" a="1"/>
  <c r="H38" i="1"/>
  <c r="I38" i="1" s="1"/>
  <c r="V37" i="1"/>
  <c r="U37" i="1"/>
  <c r="H37" i="1" a="1"/>
  <c r="H37" i="1"/>
  <c r="I37" i="1" s="1"/>
  <c r="V36" i="1"/>
  <c r="U36" i="1"/>
  <c r="H36" i="1" a="1"/>
  <c r="H36" i="1"/>
  <c r="I36" i="1" s="1"/>
  <c r="V35" i="1"/>
  <c r="U35" i="1"/>
  <c r="H35" i="1" a="1"/>
  <c r="H35" i="1"/>
  <c r="I35" i="1" s="1"/>
  <c r="V34" i="1"/>
  <c r="U34" i="1"/>
  <c r="H34" i="1" a="1"/>
  <c r="H34" i="1"/>
  <c r="I34" i="1" s="1"/>
  <c r="V33" i="1"/>
  <c r="U33" i="1"/>
  <c r="H33" i="1" a="1"/>
  <c r="H33" i="1"/>
  <c r="I33" i="1" s="1"/>
  <c r="V32" i="1"/>
  <c r="U32" i="1"/>
  <c r="H32" i="1" a="1"/>
  <c r="H32" i="1"/>
  <c r="I32" i="1" s="1"/>
  <c r="V31" i="1"/>
  <c r="U31" i="1"/>
  <c r="H31" i="1" a="1"/>
  <c r="H31" i="1"/>
  <c r="I31" i="1" s="1"/>
  <c r="V30" i="1"/>
  <c r="U30" i="1"/>
  <c r="H30" i="1" a="1"/>
  <c r="H30" i="1"/>
  <c r="I30" i="1" s="1"/>
  <c r="V29" i="1"/>
  <c r="U29" i="1"/>
  <c r="H29" i="1" a="1"/>
  <c r="H29" i="1" s="1"/>
  <c r="I29" i="1" s="1"/>
  <c r="V28" i="1"/>
  <c r="U28" i="1"/>
  <c r="H28" i="1" a="1"/>
  <c r="H28" i="1" s="1"/>
  <c r="I28" i="1" s="1"/>
  <c r="V27" i="1"/>
  <c r="U27" i="1"/>
  <c r="H27" i="1" a="1"/>
  <c r="H27" i="1" s="1"/>
  <c r="I27" i="1" s="1"/>
  <c r="V26" i="1"/>
  <c r="U26" i="1"/>
  <c r="H26" i="1" a="1"/>
  <c r="H26" i="1"/>
  <c r="I26" i="1" s="1"/>
  <c r="V25" i="1"/>
  <c r="U25" i="1"/>
  <c r="H25" i="1" a="1"/>
  <c r="H25" i="1" s="1"/>
  <c r="I25" i="1" s="1"/>
  <c r="V24" i="1"/>
  <c r="U24" i="1"/>
  <c r="H24" i="1" a="1"/>
  <c r="H24" i="1" s="1"/>
  <c r="I24" i="1" s="1"/>
  <c r="V23" i="1"/>
  <c r="U23" i="1"/>
  <c r="H23" i="1" a="1"/>
  <c r="H23" i="1" s="1"/>
  <c r="I23" i="1" s="1"/>
  <c r="V22" i="1"/>
  <c r="U22" i="1"/>
  <c r="H22" i="1" a="1"/>
  <c r="H22" i="1"/>
  <c r="I22" i="1" s="1"/>
  <c r="V21" i="1"/>
  <c r="U21" i="1"/>
  <c r="H21" i="1" a="1"/>
  <c r="H21" i="1"/>
  <c r="I21" i="1" s="1"/>
  <c r="V20" i="1"/>
  <c r="U20" i="1"/>
  <c r="H20" i="1" a="1"/>
  <c r="H20" i="1"/>
  <c r="I20" i="1" s="1"/>
  <c r="V19" i="1"/>
  <c r="U19" i="1"/>
  <c r="H19" i="1" a="1"/>
  <c r="H19" i="1"/>
  <c r="I19" i="1" s="1"/>
  <c r="V17" i="1"/>
  <c r="U17" i="1"/>
  <c r="H17" i="1" a="1"/>
  <c r="H17" i="1"/>
  <c r="I17" i="1" s="1"/>
  <c r="V16" i="1"/>
  <c r="U16" i="1"/>
  <c r="H16" i="1" a="1"/>
  <c r="H16" i="1"/>
  <c r="I16" i="1" s="1"/>
  <c r="V15" i="1"/>
  <c r="U15" i="1"/>
  <c r="H15" i="1" a="1"/>
  <c r="H15" i="1"/>
  <c r="I15" i="1" s="1"/>
  <c r="V14" i="1"/>
  <c r="U14" i="1"/>
  <c r="H14" i="1" a="1"/>
  <c r="H14" i="1"/>
  <c r="I14" i="1" s="1"/>
  <c r="V13" i="1"/>
  <c r="U13" i="1"/>
  <c r="H13" i="1" a="1"/>
  <c r="H13" i="1"/>
  <c r="I13" i="1" s="1"/>
  <c r="V12" i="1"/>
  <c r="U12" i="1"/>
  <c r="H12" i="1" a="1"/>
  <c r="H12" i="1"/>
  <c r="I12" i="1" s="1"/>
  <c r="V11" i="1"/>
  <c r="U11" i="1"/>
  <c r="H11" i="1" a="1"/>
  <c r="H11" i="1"/>
  <c r="I11" i="1" s="1"/>
  <c r="V10" i="1"/>
  <c r="U10" i="1"/>
  <c r="H10" i="1" a="1"/>
  <c r="H10" i="1"/>
  <c r="I10" i="1" s="1"/>
  <c r="V9" i="1"/>
  <c r="U9" i="1"/>
  <c r="H9" i="1" a="1"/>
  <c r="H9" i="1" s="1"/>
  <c r="I9" i="1" s="1"/>
  <c r="V8" i="1"/>
  <c r="U8" i="1"/>
  <c r="H8" i="1" a="1"/>
  <c r="H8" i="1" s="1"/>
  <c r="I8" i="1" s="1"/>
  <c r="V7" i="1"/>
  <c r="U7" i="1"/>
  <c r="H7" i="1" a="1"/>
  <c r="H7" i="1" s="1"/>
  <c r="I7" i="1" s="1"/>
  <c r="V6" i="1"/>
  <c r="U6" i="1"/>
  <c r="H6" i="1" a="1"/>
  <c r="H6" i="1" s="1"/>
  <c r="I6" i="1" s="1"/>
  <c r="V5" i="1"/>
  <c r="U5" i="1"/>
  <c r="H5" i="1" a="1"/>
  <c r="H5" i="1" s="1"/>
  <c r="I5" i="1" s="1"/>
  <c r="V4" i="1"/>
  <c r="U4" i="1"/>
  <c r="H4" i="1" a="1"/>
  <c r="H4" i="1" s="1"/>
  <c r="I4" i="1" s="1"/>
  <c r="V3" i="1"/>
  <c r="U3" i="1"/>
  <c r="H3" i="1" a="1"/>
  <c r="H3" i="1" s="1"/>
  <c r="I3" i="1" s="1"/>
  <c r="V2" i="1"/>
  <c r="U2" i="1"/>
  <c r="J2" i="1"/>
  <c r="K2" i="1" s="1"/>
  <c r="J321" i="1" l="1"/>
  <c r="K321" i="1"/>
  <c r="J320" i="1"/>
  <c r="K320" i="1"/>
  <c r="J319" i="1"/>
  <c r="K319" i="1"/>
  <c r="J318" i="1"/>
  <c r="K318" i="1"/>
  <c r="J317" i="1"/>
  <c r="K317" i="1"/>
  <c r="J316" i="1"/>
  <c r="K316" i="1"/>
  <c r="J315" i="1"/>
  <c r="K315" i="1"/>
  <c r="J314" i="1"/>
  <c r="K314" i="1"/>
  <c r="J313" i="1"/>
  <c r="K313" i="1"/>
  <c r="J312" i="1"/>
  <c r="K312" i="1"/>
  <c r="J311" i="1"/>
  <c r="K311" i="1"/>
  <c r="J310" i="1"/>
  <c r="K310" i="1"/>
  <c r="J309" i="1"/>
  <c r="K309" i="1"/>
  <c r="J308" i="1"/>
  <c r="K308" i="1"/>
  <c r="J307" i="1"/>
  <c r="K307" i="1"/>
  <c r="J306" i="1"/>
  <c r="K306" i="1"/>
  <c r="J305" i="1"/>
  <c r="K305" i="1"/>
  <c r="J304" i="1"/>
  <c r="K304" i="1"/>
  <c r="J303" i="1"/>
  <c r="K303" i="1"/>
  <c r="J302" i="1"/>
  <c r="K302" i="1"/>
  <c r="J301" i="1"/>
  <c r="K301" i="1"/>
  <c r="J300" i="1"/>
  <c r="K300" i="1"/>
  <c r="J299" i="1"/>
  <c r="K299" i="1"/>
  <c r="J298" i="1"/>
  <c r="K298" i="1"/>
  <c r="J297" i="1"/>
  <c r="K297" i="1"/>
  <c r="J296" i="1"/>
  <c r="K296" i="1"/>
  <c r="J295" i="1"/>
  <c r="K295" i="1"/>
  <c r="J294" i="1"/>
  <c r="K294" i="1"/>
  <c r="J293" i="1"/>
  <c r="K293" i="1"/>
  <c r="J292" i="1"/>
  <c r="K292" i="1"/>
  <c r="J291" i="1"/>
  <c r="K291" i="1"/>
  <c r="J290" i="1"/>
  <c r="K290" i="1"/>
  <c r="J289" i="1"/>
  <c r="K289" i="1"/>
  <c r="J288" i="1"/>
  <c r="K288" i="1"/>
  <c r="J287" i="1"/>
  <c r="K287" i="1"/>
  <c r="J286" i="1"/>
  <c r="K286" i="1"/>
  <c r="J285" i="1"/>
  <c r="K285" i="1"/>
  <c r="J284" i="1"/>
  <c r="K284" i="1"/>
  <c r="J283" i="1"/>
  <c r="K283" i="1"/>
  <c r="J282" i="1"/>
  <c r="K282" i="1"/>
  <c r="J281" i="1"/>
  <c r="K281" i="1"/>
  <c r="J280" i="1"/>
  <c r="K280" i="1"/>
  <c r="J279" i="1"/>
  <c r="K279" i="1"/>
  <c r="J278" i="1"/>
  <c r="K278" i="1"/>
  <c r="J277" i="1"/>
  <c r="K277" i="1"/>
  <c r="J276" i="1"/>
  <c r="K276" i="1"/>
  <c r="J275" i="1"/>
  <c r="K275" i="1"/>
  <c r="J274" i="1"/>
  <c r="K274" i="1" s="1"/>
  <c r="J273" i="1"/>
  <c r="K273" i="1"/>
  <c r="J272" i="1"/>
  <c r="K272" i="1"/>
  <c r="J271" i="1"/>
  <c r="K271" i="1"/>
  <c r="J270" i="1"/>
  <c r="K270" i="1"/>
  <c r="J269" i="1"/>
  <c r="K269" i="1"/>
  <c r="J268" i="1"/>
  <c r="K268" i="1"/>
  <c r="J267" i="1"/>
  <c r="K267" i="1" s="1"/>
  <c r="J266" i="1"/>
  <c r="K266" i="1"/>
  <c r="J265" i="1"/>
  <c r="K265" i="1"/>
  <c r="J264" i="1"/>
  <c r="K264" i="1"/>
  <c r="J263" i="1"/>
  <c r="K263" i="1"/>
  <c r="J262" i="1"/>
  <c r="K262" i="1"/>
  <c r="J261" i="1"/>
  <c r="K261" i="1"/>
  <c r="J260" i="1"/>
  <c r="K260" i="1"/>
  <c r="J259" i="1"/>
  <c r="K259" i="1"/>
  <c r="J258" i="1"/>
  <c r="K258" i="1"/>
  <c r="J257" i="1"/>
  <c r="K257" i="1"/>
  <c r="J256" i="1"/>
  <c r="K256" i="1" s="1"/>
  <c r="J255" i="1"/>
  <c r="K255" i="1"/>
  <c r="J254" i="1"/>
  <c r="K254" i="1"/>
  <c r="J253" i="1"/>
  <c r="K253" i="1"/>
  <c r="J252" i="1"/>
  <c r="K252" i="1"/>
  <c r="J251" i="1"/>
  <c r="K251" i="1"/>
  <c r="J250" i="1"/>
  <c r="K250" i="1"/>
  <c r="J249" i="1"/>
  <c r="K249" i="1"/>
  <c r="J248" i="1"/>
  <c r="K248" i="1"/>
  <c r="J247" i="1"/>
  <c r="K247" i="1"/>
  <c r="J246" i="1"/>
  <c r="K246" i="1"/>
  <c r="J245" i="1"/>
  <c r="K245" i="1"/>
  <c r="J244" i="1"/>
  <c r="K244" i="1"/>
  <c r="J243" i="1"/>
  <c r="K243" i="1"/>
  <c r="J242" i="1"/>
  <c r="K242" i="1"/>
  <c r="J241" i="1"/>
  <c r="K241" i="1"/>
  <c r="J240" i="1"/>
  <c r="K240" i="1"/>
  <c r="J239" i="1"/>
  <c r="K239" i="1"/>
  <c r="J238" i="1"/>
  <c r="K238" i="1"/>
  <c r="J237" i="1"/>
  <c r="K237" i="1"/>
  <c r="J236" i="1"/>
  <c r="K236" i="1"/>
  <c r="J235" i="1"/>
  <c r="K235" i="1"/>
  <c r="J234" i="1"/>
  <c r="K234" i="1"/>
  <c r="J233" i="1"/>
  <c r="K233" i="1"/>
  <c r="J232" i="1"/>
  <c r="K232" i="1"/>
  <c r="J231" i="1"/>
  <c r="K231" i="1"/>
  <c r="J230" i="1"/>
  <c r="K230" i="1"/>
  <c r="J229" i="1"/>
  <c r="K229" i="1"/>
  <c r="J228" i="1"/>
  <c r="K228" i="1"/>
  <c r="J227" i="1"/>
  <c r="K227" i="1"/>
  <c r="J226" i="1"/>
  <c r="K226" i="1"/>
  <c r="J225" i="1"/>
  <c r="K225" i="1"/>
  <c r="J224" i="1"/>
  <c r="K224" i="1"/>
  <c r="J223" i="1"/>
  <c r="K223" i="1"/>
  <c r="J222" i="1"/>
  <c r="K222" i="1"/>
  <c r="J220" i="1"/>
  <c r="K220" i="1"/>
  <c r="J218" i="1"/>
  <c r="K218" i="1"/>
  <c r="J216" i="1"/>
  <c r="K216" i="1"/>
  <c r="J215" i="1"/>
  <c r="K215" i="1"/>
  <c r="J214" i="1"/>
  <c r="K214" i="1"/>
  <c r="J211" i="1"/>
  <c r="K211" i="1"/>
  <c r="J206" i="1"/>
  <c r="K206" i="1"/>
  <c r="J204" i="1"/>
  <c r="K204" i="1"/>
  <c r="J201" i="1"/>
  <c r="K201" i="1"/>
  <c r="J199" i="1"/>
  <c r="K199" i="1" s="1"/>
  <c r="J197" i="1"/>
  <c r="K197" i="1"/>
  <c r="J194" i="1"/>
  <c r="K194" i="1"/>
  <c r="J193" i="1"/>
  <c r="K193" i="1" s="1"/>
  <c r="J190" i="1"/>
  <c r="K190" i="1"/>
  <c r="J189" i="1"/>
  <c r="K189" i="1"/>
  <c r="J186" i="1"/>
  <c r="K186" i="1"/>
  <c r="J184" i="1"/>
  <c r="K184" i="1"/>
  <c r="J183" i="1"/>
  <c r="K183" i="1"/>
  <c r="J182" i="1"/>
  <c r="K182" i="1"/>
  <c r="J181" i="1"/>
  <c r="K181" i="1"/>
  <c r="J180" i="1"/>
  <c r="K180" i="1" s="1"/>
  <c r="J179" i="1"/>
  <c r="K179" i="1"/>
  <c r="J178" i="1"/>
  <c r="K178" i="1" s="1"/>
  <c r="J176" i="1"/>
  <c r="K176" i="1"/>
  <c r="J175" i="1"/>
  <c r="K175" i="1"/>
  <c r="J172" i="1"/>
  <c r="K172" i="1"/>
  <c r="J171" i="1"/>
  <c r="K171" i="1"/>
  <c r="J170" i="1"/>
  <c r="K170" i="1"/>
  <c r="J169" i="1"/>
  <c r="K169" i="1"/>
  <c r="J168" i="1"/>
  <c r="K168" i="1"/>
  <c r="J167" i="1"/>
  <c r="K167" i="1"/>
  <c r="J166" i="1"/>
  <c r="K166" i="1" s="1"/>
  <c r="J165" i="1"/>
  <c r="K165" i="1"/>
  <c r="J164" i="1"/>
  <c r="K164" i="1"/>
  <c r="J163" i="1"/>
  <c r="K163" i="1"/>
  <c r="J161" i="1"/>
  <c r="K161" i="1"/>
  <c r="J160" i="1"/>
  <c r="K160" i="1"/>
  <c r="J159" i="1"/>
  <c r="K159" i="1"/>
  <c r="J155" i="1"/>
  <c r="K155" i="1"/>
  <c r="J153" i="1"/>
  <c r="K153" i="1"/>
  <c r="J152" i="1"/>
  <c r="K152" i="1"/>
  <c r="J151" i="1"/>
  <c r="K151" i="1"/>
  <c r="J150" i="1"/>
  <c r="K150" i="1"/>
  <c r="J149" i="1"/>
  <c r="K149" i="1"/>
  <c r="J148" i="1"/>
  <c r="K148" i="1" s="1"/>
  <c r="J147" i="1"/>
  <c r="K147" i="1"/>
  <c r="J146" i="1"/>
  <c r="K146" i="1"/>
  <c r="J140" i="1"/>
  <c r="K140" i="1"/>
  <c r="J138" i="1"/>
  <c r="K138" i="1"/>
  <c r="J137" i="1"/>
  <c r="K137" i="1"/>
  <c r="J136" i="1"/>
  <c r="K136" i="1" s="1"/>
  <c r="J135" i="1"/>
  <c r="K135" i="1"/>
  <c r="J134" i="1"/>
  <c r="K134" i="1"/>
  <c r="J133" i="1"/>
  <c r="K133" i="1"/>
  <c r="J132" i="1"/>
  <c r="K132" i="1" s="1"/>
  <c r="J131" i="1"/>
  <c r="K131" i="1"/>
  <c r="J128" i="1"/>
  <c r="K128" i="1"/>
  <c r="J127" i="1"/>
  <c r="K127" i="1"/>
  <c r="J126" i="1"/>
  <c r="K126" i="1" s="1"/>
  <c r="J125" i="1"/>
  <c r="K125" i="1" s="1"/>
  <c r="J123" i="1"/>
  <c r="K123" i="1"/>
  <c r="J122" i="1"/>
  <c r="K122" i="1"/>
  <c r="J121" i="1"/>
  <c r="K121" i="1" s="1"/>
  <c r="J120" i="1"/>
  <c r="K120" i="1"/>
  <c r="J119" i="1"/>
  <c r="K119" i="1"/>
  <c r="J118" i="1"/>
  <c r="K118" i="1"/>
  <c r="J110" i="1"/>
  <c r="K110" i="1"/>
  <c r="J109" i="1"/>
  <c r="K109" i="1" s="1"/>
  <c r="J108" i="1"/>
  <c r="K108" i="1"/>
  <c r="J107" i="1"/>
  <c r="K107" i="1"/>
  <c r="J106" i="1"/>
  <c r="K106" i="1"/>
  <c r="J105" i="1"/>
  <c r="K105" i="1"/>
  <c r="J104" i="1"/>
  <c r="K104" i="1"/>
  <c r="J103" i="1"/>
  <c r="K103" i="1"/>
  <c r="J102" i="1"/>
  <c r="K102" i="1"/>
  <c r="J101" i="1"/>
  <c r="K101" i="1"/>
  <c r="J100" i="1"/>
  <c r="K100" i="1"/>
  <c r="J95" i="1"/>
  <c r="K95" i="1" s="1"/>
  <c r="J93" i="1"/>
  <c r="K93" i="1" s="1"/>
  <c r="J92" i="1"/>
  <c r="K92" i="1"/>
  <c r="J91" i="1"/>
  <c r="K91" i="1"/>
  <c r="J90" i="1"/>
  <c r="K90" i="1"/>
  <c r="J89" i="1"/>
  <c r="K89" i="1"/>
  <c r="J88" i="1"/>
  <c r="K88" i="1"/>
  <c r="J87" i="1"/>
  <c r="K87" i="1"/>
  <c r="J84" i="1"/>
  <c r="K84" i="1"/>
  <c r="J81" i="1"/>
  <c r="K81" i="1"/>
  <c r="J80" i="1"/>
  <c r="K80" i="1" s="1"/>
  <c r="J79" i="1"/>
  <c r="K79" i="1"/>
  <c r="J78" i="1"/>
  <c r="K78" i="1"/>
  <c r="J77" i="1"/>
  <c r="K77" i="1"/>
  <c r="J76" i="1"/>
  <c r="K76" i="1"/>
  <c r="J75" i="1"/>
  <c r="K75" i="1"/>
  <c r="J74" i="1"/>
  <c r="K74" i="1"/>
  <c r="J73" i="1"/>
  <c r="K73" i="1"/>
  <c r="J72" i="1"/>
  <c r="K72" i="1" s="1"/>
  <c r="J71" i="1"/>
  <c r="K71" i="1"/>
  <c r="J70" i="1"/>
  <c r="K70" i="1"/>
  <c r="J69" i="1"/>
  <c r="K69" i="1"/>
  <c r="J68" i="1"/>
  <c r="K68" i="1"/>
  <c r="J67" i="1"/>
  <c r="K67" i="1"/>
  <c r="J66" i="1"/>
  <c r="K66" i="1" s="1"/>
  <c r="J65" i="1"/>
  <c r="K65" i="1"/>
  <c r="J64" i="1"/>
  <c r="K64" i="1"/>
  <c r="J63" i="1"/>
  <c r="K63" i="1" s="1"/>
  <c r="J61" i="1"/>
  <c r="K61" i="1"/>
  <c r="J60" i="1"/>
  <c r="K60" i="1"/>
  <c r="J59" i="1"/>
  <c r="K59" i="1" s="1"/>
  <c r="J58" i="1"/>
  <c r="K58" i="1"/>
  <c r="J57" i="1"/>
  <c r="K57" i="1"/>
  <c r="J56" i="1"/>
  <c r="K56" i="1"/>
  <c r="J55" i="1"/>
  <c r="K55" i="1"/>
  <c r="J54" i="1"/>
  <c r="K54" i="1" s="1"/>
  <c r="J53" i="1"/>
  <c r="K53" i="1" s="1"/>
  <c r="J52" i="1"/>
  <c r="K52" i="1"/>
  <c r="J51" i="1"/>
  <c r="K51" i="1"/>
  <c r="J50" i="1"/>
  <c r="K50" i="1"/>
  <c r="J49" i="1"/>
  <c r="K49" i="1"/>
  <c r="J48" i="1"/>
  <c r="K48" i="1"/>
  <c r="J47" i="1"/>
  <c r="K47" i="1" s="1"/>
  <c r="J46" i="1"/>
  <c r="K46" i="1"/>
  <c r="J45" i="1"/>
  <c r="K45" i="1"/>
  <c r="J44" i="1"/>
  <c r="K44" i="1"/>
  <c r="J43" i="1"/>
  <c r="K43" i="1" s="1"/>
  <c r="J42" i="1"/>
  <c r="K42" i="1"/>
  <c r="J41" i="1"/>
  <c r="K41" i="1" s="1"/>
  <c r="J40" i="1"/>
  <c r="K40" i="1"/>
  <c r="J39" i="1"/>
  <c r="K39" i="1" s="1"/>
  <c r="J38" i="1"/>
  <c r="K38" i="1"/>
  <c r="J37" i="1"/>
  <c r="K37" i="1"/>
  <c r="J36" i="1"/>
  <c r="K36" i="1" s="1"/>
  <c r="J35" i="1"/>
  <c r="K35" i="1" s="1"/>
  <c r="J34" i="1"/>
  <c r="K34" i="1"/>
  <c r="J33" i="1"/>
  <c r="K33" i="1"/>
  <c r="J32" i="1"/>
  <c r="K32" i="1" s="1"/>
  <c r="J31" i="1"/>
  <c r="K31" i="1"/>
  <c r="J30" i="1"/>
  <c r="K30" i="1" s="1"/>
  <c r="J29" i="1"/>
  <c r="K29" i="1"/>
  <c r="J28" i="1"/>
  <c r="K28" i="1"/>
  <c r="J27" i="1"/>
  <c r="K27" i="1" s="1"/>
  <c r="J26" i="1"/>
  <c r="K26" i="1" s="1"/>
  <c r="J25" i="1"/>
  <c r="K25" i="1"/>
  <c r="J24" i="1"/>
  <c r="K24" i="1" s="1"/>
  <c r="J23" i="1"/>
  <c r="K23" i="1" s="1"/>
  <c r="J22" i="1"/>
  <c r="K22" i="1"/>
  <c r="J21" i="1"/>
  <c r="K21" i="1"/>
  <c r="J20" i="1"/>
  <c r="K20" i="1"/>
  <c r="J19" i="1"/>
  <c r="K19" i="1"/>
  <c r="J17" i="1"/>
  <c r="K17" i="1"/>
  <c r="J16" i="1"/>
  <c r="K16" i="1"/>
  <c r="J15" i="1"/>
  <c r="K15" i="1"/>
  <c r="J14" i="1"/>
  <c r="K14" i="1"/>
  <c r="J13" i="1"/>
  <c r="K13" i="1"/>
  <c r="J12" i="1"/>
  <c r="K12" i="1"/>
  <c r="J11" i="1"/>
  <c r="K11" i="1"/>
  <c r="J10" i="1"/>
  <c r="K10" i="1"/>
  <c r="J9" i="1"/>
  <c r="K9" i="1"/>
  <c r="J8" i="1"/>
  <c r="K8" i="1"/>
  <c r="J7" i="1"/>
  <c r="K7" i="1" s="1"/>
  <c r="J6" i="1"/>
  <c r="K6" i="1"/>
  <c r="J5" i="1"/>
  <c r="K5" i="1"/>
  <c r="J4" i="1"/>
  <c r="K4" i="1" s="1"/>
  <c r="J3" i="1"/>
  <c r="K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2" authorId="0" shapeId="0" xr:uid="{00000000-0006-0000-0000-000018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2" authorId="0" shapeId="0" xr:uid="{00000000-0006-0000-0000-000020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3" authorId="0" shapeId="0" xr:uid="{00000000-0006-0000-0000-00002C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3" authorId="0" shapeId="0" xr:uid="{00000000-0006-0000-0000-000034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4" authorId="0" shapeId="0" xr:uid="{00000000-0006-0000-0000-000040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4" authorId="0" shapeId="0" xr:uid="{00000000-0006-0000-0000-000048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5" authorId="0" shapeId="0" xr:uid="{00000000-0006-0000-0000-000054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5" authorId="0" shapeId="0" xr:uid="{00000000-0006-0000-0000-00005C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6" authorId="0" shapeId="0" xr:uid="{00000000-0006-0000-0000-000068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6" authorId="0" shapeId="0" xr:uid="{00000000-0006-0000-0000-000070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7" authorId="0" shapeId="0" xr:uid="{00000000-0006-0000-0000-00007C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7" authorId="0" shapeId="0" xr:uid="{00000000-0006-0000-0000-000084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8" authorId="0" shapeId="0" xr:uid="{00000000-0006-0000-0000-000090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8" authorId="0" shapeId="0" xr:uid="{00000000-0006-0000-0000-000098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9" authorId="0" shapeId="0" xr:uid="{00000000-0006-0000-0000-000001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9" authorId="0" shapeId="0" xr:uid="{00000000-0006-0000-0000-000008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10" authorId="0" shapeId="0" xr:uid="{00000000-0006-0000-0000-000013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10" authorId="0" shapeId="0" xr:uid="{00000000-0006-0000-0000-00001B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11" authorId="0" shapeId="0" xr:uid="{00000000-0006-0000-0000-000027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11" authorId="0" shapeId="0" xr:uid="{00000000-0006-0000-0000-00002F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12" authorId="0" shapeId="0" xr:uid="{00000000-0006-0000-0000-00003B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12" authorId="0" shapeId="0" xr:uid="{00000000-0006-0000-0000-000043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13" authorId="0" shapeId="0" xr:uid="{00000000-0006-0000-0000-00004F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13" authorId="0" shapeId="0" xr:uid="{00000000-0006-0000-0000-000057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14" authorId="0" shapeId="0" xr:uid="{00000000-0006-0000-0000-000063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14" authorId="0" shapeId="0" xr:uid="{00000000-0006-0000-0000-00006B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15" authorId="0" shapeId="0" xr:uid="{00000000-0006-0000-0000-000077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15" authorId="0" shapeId="0" xr:uid="{00000000-0006-0000-0000-00007F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16" authorId="0" shapeId="0" xr:uid="{00000000-0006-0000-0000-00008B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16" authorId="0" shapeId="0" xr:uid="{00000000-0006-0000-0000-000093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17" authorId="0" shapeId="0" xr:uid="{00000000-0006-0000-0000-00009E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17" authorId="0" shapeId="0" xr:uid="{00000000-0006-0000-0000-000003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18" authorId="0" shapeId="0" xr:uid="{00000000-0006-0000-0000-00000E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18" authorId="0" shapeId="0" xr:uid="{00000000-0006-0000-0000-000015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19" authorId="0" shapeId="0" xr:uid="{00000000-0006-0000-0000-000022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19" authorId="0" shapeId="0" xr:uid="{00000000-0006-0000-0000-000029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20" authorId="0" shapeId="0" xr:uid="{00000000-0006-0000-0000-000036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20" authorId="0" shapeId="0" xr:uid="{00000000-0006-0000-0000-00003D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21" authorId="0" shapeId="0" xr:uid="{00000000-0006-0000-0000-00004A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21" authorId="0" shapeId="0" xr:uid="{00000000-0006-0000-0000-000051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22" authorId="0" shapeId="0" xr:uid="{00000000-0006-0000-0000-00005E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22" authorId="0" shapeId="0" xr:uid="{00000000-0006-0000-0000-000065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23" authorId="0" shapeId="0" xr:uid="{00000000-0006-0000-0000-000072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23" authorId="0" shapeId="0" xr:uid="{00000000-0006-0000-0000-000079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24" authorId="0" shapeId="0" xr:uid="{00000000-0006-0000-0000-000086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24" authorId="0" shapeId="0" xr:uid="{00000000-0006-0000-0000-00008D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25" authorId="0" shapeId="0" xr:uid="{00000000-0006-0000-0000-00009A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25" authorId="0" shapeId="0" xr:uid="{00000000-0006-0000-0000-0000A0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26" authorId="0" shapeId="0" xr:uid="{00000000-0006-0000-0000-00000A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26" authorId="0" shapeId="0" xr:uid="{00000000-0006-0000-0000-000010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27" authorId="0" shapeId="0" xr:uid="{00000000-0006-0000-0000-00001D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27" authorId="0" shapeId="0" xr:uid="{00000000-0006-0000-0000-000024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28" authorId="0" shapeId="0" xr:uid="{00000000-0006-0000-0000-000031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28" authorId="0" shapeId="0" xr:uid="{00000000-0006-0000-0000-000038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29" authorId="0" shapeId="0" xr:uid="{00000000-0006-0000-0000-000045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29" authorId="0" shapeId="0" xr:uid="{00000000-0006-0000-0000-00004C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30" authorId="0" shapeId="0" xr:uid="{00000000-0006-0000-0000-000059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30" authorId="0" shapeId="0" xr:uid="{00000000-0006-0000-0000-000060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31" authorId="0" shapeId="0" xr:uid="{00000000-0006-0000-0000-00006D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31" authorId="0" shapeId="0" xr:uid="{00000000-0006-0000-0000-000074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32" authorId="0" shapeId="0" xr:uid="{00000000-0006-0000-0000-000081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32" authorId="0" shapeId="0" xr:uid="{00000000-0006-0000-0000-000088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33" authorId="0" shapeId="0" xr:uid="{00000000-0006-0000-0000-000095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33" authorId="0" shapeId="0" xr:uid="{00000000-0006-0000-0000-00009C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34" authorId="0" shapeId="0" xr:uid="{00000000-0006-0000-0000-000005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34" authorId="0" shapeId="0" xr:uid="{00000000-0006-0000-0000-00000C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35" authorId="0" shapeId="0" xr:uid="{00000000-0006-0000-0000-000017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35" authorId="0" shapeId="0" xr:uid="{00000000-0006-0000-0000-00001F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36" authorId="0" shapeId="0" xr:uid="{00000000-0006-0000-0000-00002B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36" authorId="0" shapeId="0" xr:uid="{00000000-0006-0000-0000-000033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37" authorId="0" shapeId="0" xr:uid="{00000000-0006-0000-0000-00003F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37" authorId="0" shapeId="0" xr:uid="{00000000-0006-0000-0000-000047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38" authorId="0" shapeId="0" xr:uid="{00000000-0006-0000-0000-000053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38" authorId="0" shapeId="0" xr:uid="{00000000-0006-0000-0000-00005B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39" authorId="0" shapeId="0" xr:uid="{00000000-0006-0000-0000-000067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39" authorId="0" shapeId="0" xr:uid="{00000000-0006-0000-0000-00006F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40" authorId="0" shapeId="0" xr:uid="{00000000-0006-0000-0000-00007B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40" authorId="0" shapeId="0" xr:uid="{00000000-0006-0000-0000-000083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41" authorId="0" shapeId="0" xr:uid="{00000000-0006-0000-0000-00008F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41" authorId="0" shapeId="0" xr:uid="{00000000-0006-0000-0000-000097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42" authorId="0" shapeId="0" xr:uid="{00000000-0006-0000-0000-0000A2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42" authorId="0" shapeId="0" xr:uid="{00000000-0006-0000-0000-000007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43" authorId="0" shapeId="0" xr:uid="{00000000-0006-0000-0000-000012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43" authorId="0" shapeId="0" xr:uid="{00000000-0006-0000-0000-00001A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44" authorId="0" shapeId="0" xr:uid="{00000000-0006-0000-0000-000026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44" authorId="0" shapeId="0" xr:uid="{00000000-0006-0000-0000-00002E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45" authorId="0" shapeId="0" xr:uid="{00000000-0006-0000-0000-00003A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45" authorId="0" shapeId="0" xr:uid="{00000000-0006-0000-0000-000042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46" authorId="0" shapeId="0" xr:uid="{00000000-0006-0000-0000-00004E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46" authorId="0" shapeId="0" xr:uid="{00000000-0006-0000-0000-000056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47" authorId="0" shapeId="0" xr:uid="{00000000-0006-0000-0000-000062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47" authorId="0" shapeId="0" xr:uid="{00000000-0006-0000-0000-00006A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48" authorId="0" shapeId="0" xr:uid="{00000000-0006-0000-0000-000076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48" authorId="0" shapeId="0" xr:uid="{00000000-0006-0000-0000-00007E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49" authorId="0" shapeId="0" xr:uid="{00000000-0006-0000-0000-00008A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49" authorId="0" shapeId="0" xr:uid="{00000000-0006-0000-0000-000092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50" authorId="0" shapeId="0" xr:uid="{00000000-0006-0000-0000-00009D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50" authorId="0" shapeId="0" xr:uid="{00000000-0006-0000-0000-000002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51" authorId="0" shapeId="0" xr:uid="{00000000-0006-0000-0000-00000D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51" authorId="0" shapeId="0" xr:uid="{00000000-0006-0000-0000-000014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52" authorId="0" shapeId="0" xr:uid="{00000000-0006-0000-0000-000021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52" authorId="0" shapeId="0" xr:uid="{00000000-0006-0000-0000-000028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53" authorId="0" shapeId="0" xr:uid="{00000000-0006-0000-0000-000035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53" authorId="0" shapeId="0" xr:uid="{00000000-0006-0000-0000-00003C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54" authorId="0" shapeId="0" xr:uid="{00000000-0006-0000-0000-000049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54" authorId="0" shapeId="0" xr:uid="{00000000-0006-0000-0000-000050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55" authorId="0" shapeId="0" xr:uid="{00000000-0006-0000-0000-00005D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55" authorId="0" shapeId="0" xr:uid="{00000000-0006-0000-0000-000064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56" authorId="0" shapeId="0" xr:uid="{00000000-0006-0000-0000-000071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56" authorId="0" shapeId="0" xr:uid="{00000000-0006-0000-0000-000078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57" authorId="0" shapeId="0" xr:uid="{00000000-0006-0000-0000-000085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57" authorId="0" shapeId="0" xr:uid="{00000000-0006-0000-0000-00008C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58" authorId="0" shapeId="0" xr:uid="{00000000-0006-0000-0000-000099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58" authorId="0" shapeId="0" xr:uid="{00000000-0006-0000-0000-00009F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59" authorId="0" shapeId="0" xr:uid="{00000000-0006-0000-0000-000009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59" authorId="0" shapeId="0" xr:uid="{00000000-0006-0000-0000-00000F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60" authorId="0" shapeId="0" xr:uid="{00000000-0006-0000-0000-00001C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60" authorId="0" shapeId="0" xr:uid="{00000000-0006-0000-0000-000023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61" authorId="0" shapeId="0" xr:uid="{00000000-0006-0000-0000-000030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61" authorId="0" shapeId="0" xr:uid="{00000000-0006-0000-0000-000037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62" authorId="0" shapeId="0" xr:uid="{00000000-0006-0000-0000-000044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62" authorId="0" shapeId="0" xr:uid="{00000000-0006-0000-0000-00004B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63" authorId="0" shapeId="0" xr:uid="{00000000-0006-0000-0000-000058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63" authorId="0" shapeId="0" xr:uid="{00000000-0006-0000-0000-00005F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64" authorId="0" shapeId="0" xr:uid="{00000000-0006-0000-0000-00006C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64" authorId="0" shapeId="0" xr:uid="{00000000-0006-0000-0000-000073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65" authorId="0" shapeId="0" xr:uid="{00000000-0006-0000-0000-000080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65" authorId="0" shapeId="0" xr:uid="{00000000-0006-0000-0000-000087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66" authorId="0" shapeId="0" xr:uid="{00000000-0006-0000-0000-000094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66" authorId="0" shapeId="0" xr:uid="{00000000-0006-0000-0000-00009B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67" authorId="0" shapeId="0" xr:uid="{00000000-0006-0000-0000-000004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67" authorId="0" shapeId="0" xr:uid="{00000000-0006-0000-0000-00000B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68" authorId="0" shapeId="0" xr:uid="{00000000-0006-0000-0000-000016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68" authorId="0" shapeId="0" xr:uid="{00000000-0006-0000-0000-00001E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69" authorId="0" shapeId="0" xr:uid="{00000000-0006-0000-0000-00002A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69" authorId="0" shapeId="0" xr:uid="{00000000-0006-0000-0000-000032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70" authorId="0" shapeId="0" xr:uid="{00000000-0006-0000-0000-00003E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70" authorId="0" shapeId="0" xr:uid="{00000000-0006-0000-0000-000046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71" authorId="0" shapeId="0" xr:uid="{00000000-0006-0000-0000-000052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71" authorId="0" shapeId="0" xr:uid="{00000000-0006-0000-0000-00005A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72" authorId="0" shapeId="0" xr:uid="{00000000-0006-0000-0000-000066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72" authorId="0" shapeId="0" xr:uid="{00000000-0006-0000-0000-00006E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73" authorId="0" shapeId="0" xr:uid="{00000000-0006-0000-0000-00007A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73" authorId="0" shapeId="0" xr:uid="{00000000-0006-0000-0000-000082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74" authorId="0" shapeId="0" xr:uid="{00000000-0006-0000-0000-00008E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74" authorId="0" shapeId="0" xr:uid="{00000000-0006-0000-0000-000096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75" authorId="0" shapeId="0" xr:uid="{00000000-0006-0000-0000-0000A1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75" authorId="0" shapeId="0" xr:uid="{00000000-0006-0000-0000-000006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76" authorId="0" shapeId="0" xr:uid="{00000000-0006-0000-0000-000011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76" authorId="0" shapeId="0" xr:uid="{00000000-0006-0000-0000-000019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77" authorId="0" shapeId="0" xr:uid="{00000000-0006-0000-0000-000025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77" authorId="0" shapeId="0" xr:uid="{00000000-0006-0000-0000-00002D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78" authorId="0" shapeId="0" xr:uid="{00000000-0006-0000-0000-000039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78" authorId="0" shapeId="0" xr:uid="{00000000-0006-0000-0000-000041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79" authorId="0" shapeId="0" xr:uid="{00000000-0006-0000-0000-00004D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79" authorId="0" shapeId="0" xr:uid="{00000000-0006-0000-0000-000055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80" authorId="0" shapeId="0" xr:uid="{00000000-0006-0000-0000-000061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80" authorId="0" shapeId="0" xr:uid="{00000000-0006-0000-0000-000069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81" authorId="0" shapeId="0" xr:uid="{00000000-0006-0000-0000-000075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81" authorId="0" shapeId="0" xr:uid="{00000000-0006-0000-0000-00007D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  <comment ref="I82" authorId="0" shapeId="0" xr:uid="{00000000-0006-0000-0000-000089000000}">
      <text>
        <r>
          <rPr>
            <sz val="10"/>
            <color rgb="FF000000"/>
            <rFont val="Arial"/>
            <scheme val="minor"/>
          </rPr>
          <t>Umumiy narx = Maydon * qavat bo‘yicha 1 m² narx</t>
        </r>
      </text>
    </comment>
    <comment ref="U82" authorId="0" shapeId="0" xr:uid="{00000000-0006-0000-0000-000091000000}">
      <text>
        <r>
          <rPr>
            <sz val="10"/>
            <color rgb="FF000000"/>
            <rFont val="Arial"/>
            <scheme val="minor"/>
          </rPr>
          <t>Shartnoma raqami = sana kuni / xonadon raqami</t>
        </r>
      </text>
    </comment>
  </commentList>
</comments>
</file>

<file path=xl/sharedStrings.xml><?xml version="1.0" encoding="utf-8"?>
<sst xmlns="http://schemas.openxmlformats.org/spreadsheetml/2006/main" count="1372" uniqueCount="531">
  <si>
    <t>ID</t>
  </si>
  <si>
    <t>Bino</t>
  </si>
  <si>
    <t>Pod'ezd</t>
  </si>
  <si>
    <t>Qavat</t>
  </si>
  <si>
    <t>Xonadon raqami</t>
  </si>
  <si>
    <t>Xona turi</t>
  </si>
  <si>
    <t>Maydon (m²)</t>
  </si>
  <si>
    <t>1 m² narx</t>
  </si>
  <si>
    <t>Umumiy narx</t>
  </si>
  <si>
    <t>Boshlang'ich to'lov</t>
  </si>
  <si>
    <t>Qoldiq</t>
  </si>
  <si>
    <t>Status</t>
  </si>
  <si>
    <t>Mijoz F.I.Sh</t>
  </si>
  <si>
    <t>Manzil</t>
  </si>
  <si>
    <t>Pasport</t>
  </si>
  <si>
    <t>Kim tomonidan berilgan</t>
  </si>
  <si>
    <t>Pasport berilgan sana</t>
  </si>
  <si>
    <t>Telefon 1</t>
  </si>
  <si>
    <t>Telefon 2</t>
  </si>
  <si>
    <t>Shartnoma sanasi</t>
  </si>
  <si>
    <t>Shartnoma №</t>
  </si>
  <si>
    <t>MapKey</t>
  </si>
  <si>
    <t>LockedBy</t>
  </si>
  <si>
    <t>LockTime</t>
  </si>
  <si>
    <t>Deadline</t>
  </si>
  <si>
    <t>Izoh</t>
  </si>
  <si>
    <t>2 хонали</t>
  </si>
  <si>
    <t>Sotildi</t>
  </si>
  <si>
    <t>Nosirova Gulshanoy Fayzullayevna</t>
  </si>
  <si>
    <t>1 хонали</t>
  </si>
  <si>
    <t>Samadov Obloqul</t>
  </si>
  <si>
    <t>Hayrullayev Nurbek Ruzi o'g'li</t>
  </si>
  <si>
    <t>Yarmatova Feruza Xushvaqtova</t>
  </si>
  <si>
    <t>Xoliqo Umidjon Boltayevich</t>
  </si>
  <si>
    <t>Zokirova Nilufar Zokir qizi</t>
  </si>
  <si>
    <t>Xomidov Xurshid Fozilovich</t>
  </si>
  <si>
    <t>Xomidova Feruza Fozil qizi</t>
  </si>
  <si>
    <t>30.01.2026</t>
  </si>
  <si>
    <t>Rahmatullayeva Sevinch</t>
  </si>
  <si>
    <t>Ro'yeva Zulayxo Furqat qizi</t>
  </si>
  <si>
    <t>Ortiqova Zulfizar Sodiq qizi</t>
  </si>
  <si>
    <t>Boxodirov Xasan Otabek o'g'li</t>
  </si>
  <si>
    <t>Amirova Gavhar</t>
  </si>
  <si>
    <t>Azratqulova Dilobar Samad qizi</t>
  </si>
  <si>
    <t>Boynazarova Guzalxon Bektosh qizi</t>
  </si>
  <si>
    <t>Nasrullayeva Maftuna Farxod qizi</t>
  </si>
  <si>
    <t>To'ychiyeva Matluba Ibodulla qizi</t>
  </si>
  <si>
    <t>Neymatov Shuhrat Ilhom o'g'li</t>
  </si>
  <si>
    <t>Gadoyev Muxlis Kucharovich</t>
  </si>
  <si>
    <t xml:space="preserve"> </t>
  </si>
  <si>
    <t>30/17</t>
  </si>
  <si>
    <t>1-17</t>
  </si>
  <si>
    <t>Sunnatillo Saidjonov</t>
  </si>
  <si>
    <t>1</t>
  </si>
  <si>
    <t>Hazratova Iroda Hamroqulovna</t>
  </si>
  <si>
    <t>Zoidova Aziza G'ulom qizi</t>
  </si>
  <si>
    <t>Muhammadiyeva Charos Keldiyorovna</t>
  </si>
  <si>
    <t>Urinov Sardor Komil o'g'li</t>
  </si>
  <si>
    <t>Ruzimurodov Jamshid Quychi o'g'li</t>
  </si>
  <si>
    <t>Quyliyev Shahzod Baxriddin o'g'li</t>
  </si>
  <si>
    <t>Eshnazarov Eldor Eshnazar o'g'li</t>
  </si>
  <si>
    <t>Artiqova Lobaroy Komolovna</t>
  </si>
  <si>
    <t>Haqberdiyeva Komila Xudoyberdiyevna</t>
  </si>
  <si>
    <t>Saidjonov Sunnatillo</t>
  </si>
  <si>
    <t>Salomov Akmal Xoliqovich</t>
  </si>
  <si>
    <t>Aliyeva Navruza Ziyodullayevna</t>
  </si>
  <si>
    <t>Saidjonova Yulduz Zarif qizi</t>
  </si>
  <si>
    <t>Sadullayev Og'abek Otabek o'g'li</t>
  </si>
  <si>
    <t>Qulmatova Mu'tabar Jurayevna</t>
  </si>
  <si>
    <t>Nabiyeva Shaxnoza Burxonovna</t>
  </si>
  <si>
    <t>Ashurova Bobur Baxodir o'g'li</t>
  </si>
  <si>
    <t>Turayeva Shaxlo Amirovna</t>
  </si>
  <si>
    <t>Qurbonova O'g'iloy Baxriddin qizi</t>
  </si>
  <si>
    <t>Radjabova Zulayxo Narzikulovna</t>
  </si>
  <si>
    <t>Usmonov Sohib G'ayrat o'g'li</t>
  </si>
  <si>
    <t>Kamolov Lazizbek Ravshan ugl</t>
  </si>
  <si>
    <t>Mingboeva Dilrabo Abdurasul Qizi</t>
  </si>
  <si>
    <t>Marifova Mumina Ravshan qizi</t>
  </si>
  <si>
    <t xml:space="preserve">Bekova Gulsin Muxammadeivna </t>
  </si>
  <si>
    <t>Ҳамдамова Дилшода Қаҳрамон қизи</t>
  </si>
  <si>
    <t>Misirov Baxtuyor Abdivasevich</t>
  </si>
  <si>
    <t>Manonov Sherali Abdixalimovich</t>
  </si>
  <si>
    <t>Yusupuva Nargiza Dilshod qizi</t>
  </si>
  <si>
    <t>Sharopova Dilfuza Orziqulqizi</t>
  </si>
  <si>
    <t>Tlyayova Nilufar Tursunovna</t>
  </si>
  <si>
    <t>Mansurov Mexrojbek Maqsud ugli</t>
  </si>
  <si>
    <t>Komilova Feruza Negmatjonova</t>
  </si>
  <si>
    <t>Maxmadiyeva Manzura Absamieva</t>
  </si>
  <si>
    <t>Xurramova Shaxriniso Sattorova</t>
  </si>
  <si>
    <t>Abdusamadova Mushtariybonu abdixoshim qizi</t>
  </si>
  <si>
    <t>Quchqorov Qurbontosh Usarovna</t>
  </si>
  <si>
    <t>Ashirova Charos Narimonovna</t>
  </si>
  <si>
    <t xml:space="preserve">Ochilova Soxiba Sultanovna
</t>
  </si>
  <si>
    <t>Xidirova Gulnora Toshpulatovna</t>
  </si>
  <si>
    <t>Asatillaev Shoxux Asqarjon ugli</t>
  </si>
  <si>
    <t>Dustov Elbek Nasrullaevich</t>
  </si>
  <si>
    <t>Karimov Shuxrat Shukrullo ugli</t>
  </si>
  <si>
    <t>Farxodiy Dildora Ulugbekovna</t>
  </si>
  <si>
    <t>Нурматова Шоҳида Зулхон қизи</t>
  </si>
  <si>
    <t>Қашқадарё вилояти Китоб тумани Чармгар МФЙ Камолот кўчаси</t>
  </si>
  <si>
    <t>AD8996425</t>
  </si>
  <si>
    <t>KITOB TUMAN IIV10232</t>
  </si>
  <si>
    <t>30/61</t>
  </si>
  <si>
    <t>4-61</t>
  </si>
  <si>
    <t>Gadoeva Maxbuba Salimovna</t>
  </si>
  <si>
    <t>Sherova Dilafruz Mirzaevna</t>
  </si>
  <si>
    <t>Turdialiyeva Nigina Baxtiyorovna</t>
  </si>
  <si>
    <t>Sulaymonov Sobirxon Salimjon ugli</t>
  </si>
  <si>
    <t>Mansurov Abdullajon Sirojiddin ugli</t>
  </si>
  <si>
    <t>Xamraeva Kumush Uktam qizi</t>
  </si>
  <si>
    <t>Usmonova Sarvinoz Arslonovna</t>
  </si>
  <si>
    <t>Gafforova Firuza Akram qizi</t>
  </si>
  <si>
    <t>Xolmatov Muzaffar Raxmonqulivich</t>
  </si>
  <si>
    <t>Rajabova Dilsuz Abdurasul qizi</t>
  </si>
  <si>
    <t>Ganeiva Fayoza Xakimovna</t>
  </si>
  <si>
    <t>Ochilov Abdimajid murtoz ugli</t>
  </si>
  <si>
    <t>Xasanova Xafiza Oripjonova</t>
  </si>
  <si>
    <t>Uzoqov Kamronbek Qosim ugli</t>
  </si>
  <si>
    <t>Kenjaeva Saloxat Ruzimurovdovna</t>
  </si>
  <si>
    <t>Dustov Alisher Nasrullaevich</t>
  </si>
  <si>
    <t>Jalilova Saida Gayrat qizi</t>
  </si>
  <si>
    <t>Abdullaeva Marziya Hamraqulovna</t>
  </si>
  <si>
    <t>Qudratov Sunnatillo Hazratovich</t>
  </si>
  <si>
    <t>Ражабова Дилноза Юсуповна</t>
  </si>
  <si>
    <t xml:space="preserve">Қашқадарё вилояти Китоб тумани Шарқ юлдузи  МФЙ Чинорзор 294 </t>
  </si>
  <si>
    <t>АВ9381602</t>
  </si>
  <si>
    <t>Китоб тумани</t>
  </si>
  <si>
    <t>Band</t>
  </si>
  <si>
    <t xml:space="preserve">Ochilov Iskandar </t>
  </si>
  <si>
    <t>30/02</t>
  </si>
  <si>
    <t>04.07.2026</t>
  </si>
  <si>
    <t>nilufar opa ayalari nomiga</t>
  </si>
  <si>
    <t xml:space="preserve">Buriyev Muhammad Ali </t>
  </si>
  <si>
    <t xml:space="preserve">Raximov Bazarali  19-20 aprel notarius </t>
  </si>
  <si>
    <t>20.04.2026</t>
  </si>
  <si>
    <t>Ботирова Азиза Собир қизи</t>
  </si>
  <si>
    <t>Муродова Маруса Файзуллаевна</t>
  </si>
  <si>
    <t>Зарипова Шалола Шерзод қизи</t>
  </si>
  <si>
    <t>Қашқадарё вилояти Китоб тумани Панжи МФЙ Юқориоқбой қишлоғи</t>
  </si>
  <si>
    <t>"AB"7165999</t>
  </si>
  <si>
    <t>KITOB TUMANI IIB</t>
  </si>
  <si>
    <t>Тоштимирова Диляра Фозил қизи</t>
  </si>
  <si>
    <t xml:space="preserve">Қашқадарё вилояти Китоб тумани </t>
  </si>
  <si>
    <t>"AB"8469168</t>
  </si>
  <si>
    <t>Kasbi tuman IIB</t>
  </si>
  <si>
    <t>Ziyodullayev Iso</t>
  </si>
  <si>
    <t>Баратова Зибинисо Мансуровна</t>
  </si>
  <si>
    <t>Мухторова Висола Ғайбулло қизи</t>
  </si>
  <si>
    <t>Bo'sh</t>
  </si>
  <si>
    <t>Бердиев Рустам Абдивали ўғли</t>
  </si>
  <si>
    <t>Shartnoma</t>
  </si>
  <si>
    <t>Норов Алишер Норович</t>
  </si>
  <si>
    <t>Қашқадарё вилояти Китоб тумани Искана МФЙ Искана қишлоғи 197 уй</t>
  </si>
  <si>
    <t>AD1488644</t>
  </si>
  <si>
    <t>Россия Федератсияси</t>
  </si>
  <si>
    <t>23.062022</t>
  </si>
  <si>
    <t>30/15</t>
  </si>
  <si>
    <t>1-15</t>
  </si>
  <si>
    <t>Тўйчиева Дилдора Ғуломжон қизи</t>
  </si>
  <si>
    <t>Қашқадарё вилояти Ғузор тумани Хужагузар МФЙ Навои кучаси 45 уй</t>
  </si>
  <si>
    <t>AD0853029</t>
  </si>
  <si>
    <t xml:space="preserve">G`uzor Tumani </t>
  </si>
  <si>
    <t>+998916367007</t>
  </si>
  <si>
    <t>30/16</t>
  </si>
  <si>
    <t>2-16</t>
  </si>
  <si>
    <t>2-17</t>
  </si>
  <si>
    <t>Feruza opa</t>
  </si>
  <si>
    <t>30/18</t>
  </si>
  <si>
    <t>2-18</t>
  </si>
  <si>
    <t>Abdivoitov Mansur</t>
  </si>
  <si>
    <t>16.04.2026</t>
  </si>
  <si>
    <t>Қилочов Шухрат Илхомивич</t>
  </si>
  <si>
    <t xml:space="preserve">Сайдинов Шавқиддин </t>
  </si>
  <si>
    <t xml:space="preserve">Қашқадарё вилояти Китоб тумани Қайнар МФЙ Қайнарбулоқ 39-уй  </t>
  </si>
  <si>
    <t>АD3399587</t>
  </si>
  <si>
    <t xml:space="preserve">Китоб тумани  ИИВ </t>
  </si>
  <si>
    <t>95 849 09 99</t>
  </si>
  <si>
    <t>90 721 97 19</t>
  </si>
  <si>
    <t>Юсупов Зуфар Отамурод уғли</t>
  </si>
  <si>
    <t>Қашқадарё вилояти Китоб тумани  Шуробсой МФЙ Бошчил кучаси 111-уй</t>
  </si>
  <si>
    <t>AB4933128</t>
  </si>
  <si>
    <t>Озодов Умрзоқ Райим ўғли</t>
  </si>
  <si>
    <t>Ашурова Хуршида Тошпулатовна</t>
  </si>
  <si>
    <t>Султонов Фахриддин Рустамович</t>
  </si>
  <si>
    <t>Юсупова Матлуба Акбаровна</t>
  </si>
  <si>
    <t>Қашқадарё вилояти Китоб тумани Алақуйлиқ МФЙ Зоминлик кучаси 119-уй</t>
  </si>
  <si>
    <t>AE2744637</t>
  </si>
  <si>
    <t>Kitob tuman IIV</t>
  </si>
  <si>
    <t>Турсунова Гулшод Қахрамоновна</t>
  </si>
  <si>
    <t>Розиқов Солижон Мусурмонович</t>
  </si>
  <si>
    <t>Очилова Мавлуда Эшаиевна</t>
  </si>
  <si>
    <t>Саломова Сарвиноз Холиқовна</t>
  </si>
  <si>
    <t>Комилова Садоқат Тухтаевна</t>
  </si>
  <si>
    <t xml:space="preserve">Қашқадарё вилояти Китоб тумани Янги замон МФЙ Дурмон қишлоғи </t>
  </si>
  <si>
    <t>АВ9205568</t>
  </si>
  <si>
    <t>Китоб тумани ИИВ</t>
  </si>
  <si>
    <t>30/30</t>
  </si>
  <si>
    <t>2-30</t>
  </si>
  <si>
    <t>Муминова Дилдора Уткировна</t>
  </si>
  <si>
    <t>Қашқадарё вилояти Китоб туман Боғбон МФЙ 2-уй</t>
  </si>
  <si>
    <t>AE6687974</t>
  </si>
  <si>
    <t>Китоб туман ИИВ</t>
  </si>
  <si>
    <t xml:space="preserve">+998886310473 </t>
  </si>
  <si>
    <t>+998919499477</t>
  </si>
  <si>
    <t>30/31</t>
  </si>
  <si>
    <t>3-31</t>
  </si>
  <si>
    <t>dushanba srok oldi pul topib keladila</t>
  </si>
  <si>
    <t>Зокиров Фаррух Зариф уғли</t>
  </si>
  <si>
    <t>Қашқадарё вилояти Китоб туман  Чармгар МФЙ Киқтиоб кучаси 11-уй</t>
  </si>
  <si>
    <t>AB7184438</t>
  </si>
  <si>
    <t>30/32</t>
  </si>
  <si>
    <t>3-32</t>
  </si>
  <si>
    <t>21.04.2026</t>
  </si>
  <si>
    <t>Абдиманнонов Хусанбек Ғанишер уғли</t>
  </si>
  <si>
    <t>Қашкадарё вилояти Китоб туман Шарқ юлдизи МФЙ 87-уй</t>
  </si>
  <si>
    <t>AC2907884</t>
  </si>
  <si>
    <t>30/33</t>
  </si>
  <si>
    <t>3-33</t>
  </si>
  <si>
    <t>27.04.2026</t>
  </si>
  <si>
    <t>Қосимов Сарвар Рабимқулович</t>
  </si>
  <si>
    <t>Қашқадарё вилояти Китоб тумани Зарафшон МФЙ Янгиобод шаҳарчаси 5 уй</t>
  </si>
  <si>
    <t>AD4683311</t>
  </si>
  <si>
    <t>SHAXRISABZ TUMANI IIV10232</t>
  </si>
  <si>
    <t>30/34</t>
  </si>
  <si>
    <t>3-34</t>
  </si>
  <si>
    <t>Маннонова Муштарий Муродулло қизи</t>
  </si>
  <si>
    <t>Қашқадарё вилояти Китоб туман Бирлик МФЙ Минглар кучаси 16-уй</t>
  </si>
  <si>
    <t>AE6645698</t>
  </si>
  <si>
    <t>30/35</t>
  </si>
  <si>
    <t>3-35</t>
  </si>
  <si>
    <t>14.06.2026</t>
  </si>
  <si>
    <t>Sarvar aka</t>
  </si>
  <si>
    <t>ab</t>
  </si>
  <si>
    <t>30/36</t>
  </si>
  <si>
    <t>3-36</t>
  </si>
  <si>
    <t>24.04.2026</t>
  </si>
  <si>
    <t>Ertaga keladi pulini kutobdi ekan bosh tulov qilib olmoqchi. Aniq olishini aytdi lavz qildi</t>
  </si>
  <si>
    <t>Азимов Ўктам Холбоевич</t>
  </si>
  <si>
    <t>Бахриддинов Қувончбек Олим ўғли</t>
  </si>
  <si>
    <t>Озодов Адхам Зарипович</t>
  </si>
  <si>
    <t xml:space="preserve">Quldashev Bahtiyor </t>
  </si>
  <si>
    <t xml:space="preserve">Syrum MFY Obod diyor kuchasi </t>
  </si>
  <si>
    <t>AD 2639501</t>
  </si>
  <si>
    <t>Kitob Tuman IIV</t>
  </si>
  <si>
    <t>Боймирзаева Феруза Жуманазар қизи</t>
  </si>
  <si>
    <t>Мухаммадиева Негора Бозоровна</t>
  </si>
  <si>
    <t>Хасанова Мохигул Шерқобилова</t>
  </si>
  <si>
    <t>Қашкадарё вилояти Китоб туман Самарқанд МФЙ Қавзахона кучаси 208-уй</t>
  </si>
  <si>
    <t>AD2255671</t>
  </si>
  <si>
    <t>30/43</t>
  </si>
  <si>
    <t>3-43</t>
  </si>
  <si>
    <t>Мирзаева Дилобар Абдухаким қизи</t>
  </si>
  <si>
    <t>Eshturdiyev Jamolbek Asqar o’g’li</t>
  </si>
  <si>
    <t>Hasanov Humoyun Tuychi Ugli</t>
  </si>
  <si>
    <t>Ғуломова Гулфиза Олим қизи</t>
  </si>
  <si>
    <t>Қашқадарё вилояти Китоб тумани Бешқозоқ МФЙ Бешқозоқ кучаси 252-уй</t>
  </si>
  <si>
    <t>AB3975051</t>
  </si>
  <si>
    <t>Нарзуллаев Алишер Баходир уғли</t>
  </si>
  <si>
    <t>Қашқадарё вилояти Шахрисабз туман Абзият МФЙ Хужабоғ 76-уй</t>
  </si>
  <si>
    <t>AD0787725</t>
  </si>
  <si>
    <t>30/48</t>
  </si>
  <si>
    <t>4-48</t>
  </si>
  <si>
    <t>03.07.2026</t>
  </si>
  <si>
    <t>aka</t>
  </si>
  <si>
    <t>30/49</t>
  </si>
  <si>
    <t>4-49</t>
  </si>
  <si>
    <t xml:space="preserve">Safarova Safiya </t>
  </si>
  <si>
    <t>88 6340056</t>
  </si>
  <si>
    <t>Аҳмаджонов Адҳамжон Акмал ўғли</t>
  </si>
  <si>
    <t>Юлдашев Самариддин Махматмуродович</t>
  </si>
  <si>
    <t>Қашқадарё вилояти Китоб тумани Хожи МФЙ Нуристон кучаси 72 уй</t>
  </si>
  <si>
    <t>AD4027656</t>
  </si>
  <si>
    <t>Китоб туман ИИВ 10232</t>
  </si>
  <si>
    <t xml:space="preserve">Қурбонова Зилола Мухторовна </t>
  </si>
  <si>
    <t>Турдимуродова Мокхинур Еркин қизи</t>
  </si>
  <si>
    <t>AB6838447</t>
  </si>
  <si>
    <t>Чироқчи тумани ИИВ</t>
  </si>
  <si>
    <t>Худойқулова Дилафруз Юсуб қизи</t>
  </si>
  <si>
    <t>Қашқадарё вилояти Китоб тумани Янги Замон МФЙ Дурмон қишлоғи 32 уй</t>
  </si>
  <si>
    <t>"AB"7541366</t>
  </si>
  <si>
    <t>Kitob tuman IIB</t>
  </si>
  <si>
    <t>Жумақулова Шоҳжаҳон Комилжон ўғли</t>
  </si>
  <si>
    <t>Рашидова Манзура Шавкат қизи</t>
  </si>
  <si>
    <t xml:space="preserve"> Қашқадарё вилояти Китоб тумани Хамид Олимжон МФЙ Беруний кучаси 2 16-уй</t>
  </si>
  <si>
    <t>AB7424198</t>
  </si>
  <si>
    <t>Рахматова Гулноза Фазлиддин қизи</t>
  </si>
  <si>
    <t>Қашқадарё вилояти Китоб туман Шарқ Юлдузи МФЙ  Рус  қишлоқ  417-уй</t>
  </si>
  <si>
    <t>AE 6343804</t>
  </si>
  <si>
    <t>30/58</t>
  </si>
  <si>
    <t>4-58</t>
  </si>
  <si>
    <t>Усмонов Шахбоз Улмас ўғли</t>
  </si>
  <si>
    <t>Bosh</t>
  </si>
  <si>
    <t>30/60</t>
  </si>
  <si>
    <t>4-60</t>
  </si>
  <si>
    <t>Обидова Хуршида Маликовна</t>
  </si>
  <si>
    <t>Қашқадарё вилояти Китоб туман Яккатут МФЙ Қавз ота кучаси 21-уй</t>
  </si>
  <si>
    <t>AE2750509</t>
  </si>
  <si>
    <t>5-61</t>
  </si>
  <si>
    <t>Мардонова Севара Акбаровна</t>
  </si>
  <si>
    <t>Қашқадарё вилояти Китоб туман Шарқ юлдузи МФЙ Рус қишлоқ 154-уй</t>
  </si>
  <si>
    <t>AD8447254</t>
  </si>
  <si>
    <t>30/62</t>
  </si>
  <si>
    <t>5-62</t>
  </si>
  <si>
    <t>26.04.2026</t>
  </si>
  <si>
    <t>30/63</t>
  </si>
  <si>
    <t>5-63</t>
  </si>
  <si>
    <t>30/64</t>
  </si>
  <si>
    <t>5-64</t>
  </si>
  <si>
    <t>Axmedova Komila Raxmatillaevna</t>
  </si>
  <si>
    <t>Tursunova Dilfuza Raufboy qizi</t>
  </si>
  <si>
    <t xml:space="preserve">Rahmatullayev Rustam </t>
  </si>
  <si>
    <t>Махмудова Нигора Бахриддиновна</t>
  </si>
  <si>
    <t>Равшанов Сарвар Самижон ўғли</t>
  </si>
  <si>
    <t>Жамшид</t>
  </si>
  <si>
    <t xml:space="preserve">Қашқадарё вилояти Китоб тумани Сарой МФЙ Оппон-Соппон кучаси </t>
  </si>
  <si>
    <t>AB9876123</t>
  </si>
  <si>
    <t>Аққузиева Барно Мусақуловна</t>
  </si>
  <si>
    <t>Ибрагемов Низомиддин Хуррамович</t>
  </si>
  <si>
    <t>Қашқадарё вилояти Китоб тумани Навруз МФЙ Навруз қишлоғи</t>
  </si>
  <si>
    <t>AE 3941147</t>
  </si>
  <si>
    <t xml:space="preserve">Kitob Tumani IIV </t>
  </si>
  <si>
    <t xml:space="preserve"> 97 9510786</t>
  </si>
  <si>
    <t>Примова Туйғуной Хошимқулова</t>
  </si>
  <si>
    <t xml:space="preserve">Қашқадарё вилояти Китоб туман Қушдарё МФЙ  Дониёршайх кучаси </t>
  </si>
  <si>
    <t>AC0645924</t>
  </si>
  <si>
    <t>30/73</t>
  </si>
  <si>
    <t>5-73</t>
  </si>
  <si>
    <t>Ширинхонова Нодира Юсуф қизи</t>
  </si>
  <si>
    <t>Қашқадарё вилояти Китоб тумани Сохибкор МФЙ Қайчили кўчаси 3 уй</t>
  </si>
  <si>
    <t>"AD"295947</t>
  </si>
  <si>
    <t>KITOB TUMAN IIB</t>
  </si>
  <si>
    <t>30/75</t>
  </si>
  <si>
    <t>5-75</t>
  </si>
  <si>
    <t>30/76</t>
  </si>
  <si>
    <t>6-76</t>
  </si>
  <si>
    <t>Сафаров Юсуф Содиқ ўғли</t>
  </si>
  <si>
    <t>Қашқадарё вилояти Китоб тумани Шарқ юлдузи МФЙ  Рус қишлоқ  113 уй</t>
  </si>
  <si>
    <t>АЕ2910087</t>
  </si>
  <si>
    <t>30/77</t>
  </si>
  <si>
    <t>6-77</t>
  </si>
  <si>
    <t>Салимова Фарида Хурамовна</t>
  </si>
  <si>
    <t xml:space="preserve">Мустақиллик Уйингоз кўчаси </t>
  </si>
  <si>
    <t>AB 9845984</t>
  </si>
  <si>
    <t>Kitob tumani IIB</t>
  </si>
  <si>
    <t>97 5883476</t>
  </si>
  <si>
    <t>88 5898424</t>
  </si>
  <si>
    <t>Бахронов Жахонгир Сохиб ўғли</t>
  </si>
  <si>
    <t>Қашқадарё вилояти Китоб тумани Хожи МФЙ Хожи кўчаси 31</t>
  </si>
  <si>
    <t>АD4652468</t>
  </si>
  <si>
    <t>30/81</t>
  </si>
  <si>
    <t>6-81</t>
  </si>
  <si>
    <t>Рузиева Дилафруз Ашуровна</t>
  </si>
  <si>
    <t>Соатов Фарход Мухиддинович</t>
  </si>
  <si>
    <t>Розиқова Ноила Тошкент қизи</t>
  </si>
  <si>
    <t>Xamidova Iroda Fozilovna</t>
  </si>
  <si>
    <t>Хужақулова Шахризода Садриддин қизи</t>
  </si>
  <si>
    <t>Рахматуллаев Жасурбек Негматуллаевич</t>
  </si>
  <si>
    <t>Қашқадарё вилояти Қарши тумани Шуробсой МФЙ Темурийлар кучаси 7-уй</t>
  </si>
  <si>
    <t>AB5364010</t>
  </si>
  <si>
    <t>Рашидова Зухра Хуршид қизи</t>
  </si>
  <si>
    <t>Қашқадарё вилояти Қарши тумани Лаганда МФЙ Лаганда қишлоғи 12 уй</t>
  </si>
  <si>
    <t>"AB"4009336</t>
  </si>
  <si>
    <t>QARSHI TUMAN IIB</t>
  </si>
  <si>
    <t>Бердиев Шахзод Мусурмон уғли</t>
  </si>
  <si>
    <t xml:space="preserve">Қашвадарё вилояти Китоб туман Чағатой қишлоғи </t>
  </si>
  <si>
    <t>AB5707919</t>
  </si>
  <si>
    <t>30/92</t>
  </si>
  <si>
    <t>7-92</t>
  </si>
  <si>
    <t>23.06.2026</t>
  </si>
  <si>
    <t>30/93</t>
  </si>
  <si>
    <t>7-93</t>
  </si>
  <si>
    <t>Жапарова Гулнора Хурамовна</t>
  </si>
  <si>
    <t>Шаҳрисабз шаҳри, Чуқун МФЙ, Боғибаланд кўчаси</t>
  </si>
  <si>
    <t>AB 5821219</t>
  </si>
  <si>
    <t xml:space="preserve">Shaxrisabzshaxri </t>
  </si>
  <si>
    <t>90 8946910</t>
  </si>
  <si>
    <t>30/96</t>
  </si>
  <si>
    <t>7-96</t>
  </si>
  <si>
    <t>Қуйсинов Сардор Комол уғли</t>
  </si>
  <si>
    <t>Қашқадарё вилояти Китоб тумани Боғбон МФЙ Гулнавруз кучаси 28-уй</t>
  </si>
  <si>
    <t>AB7323881</t>
  </si>
  <si>
    <t xml:space="preserve">Malika opa </t>
  </si>
  <si>
    <t>Хақбердиев Фурқат Абдиманнонович</t>
  </si>
  <si>
    <t>Xakimova Farzona Qurbon qizi</t>
  </si>
  <si>
    <t>Qashqadaryo viloyati Kitob tumani Ulug'bek MFY paxtakor ko'chasi 102-uy</t>
  </si>
  <si>
    <t>AB4765662</t>
  </si>
  <si>
    <t>Муминова Умида Марғуба қизи</t>
  </si>
  <si>
    <t>Barchinoy</t>
  </si>
  <si>
    <t xml:space="preserve">Мухторов Сардор Бахтиёрович </t>
  </si>
  <si>
    <t>Қашқадарё вилояти Китоб тумани Хужаилмкони МФЙ Гулбоғ қишлоғи 63 уй</t>
  </si>
  <si>
    <t>AD0996679</t>
  </si>
  <si>
    <t>30/104</t>
  </si>
  <si>
    <t>7-104</t>
  </si>
  <si>
    <t>30/106</t>
  </si>
  <si>
    <t>8-106</t>
  </si>
  <si>
    <t>Маннонова Феруза Абдухалимовна</t>
  </si>
  <si>
    <t>Қашқадарё вилояти Китоб тумни Халқлар дўстлиги МФЙ  Қашқадарё кўчаси 79</t>
  </si>
  <si>
    <t>AB8803940</t>
  </si>
  <si>
    <t>Qashqadaryo viloyati Kitob tumani IIB</t>
  </si>
  <si>
    <t>30/107</t>
  </si>
  <si>
    <t>8-107</t>
  </si>
  <si>
    <t>xasanova hilola</t>
  </si>
  <si>
    <t>30/110</t>
  </si>
  <si>
    <t>8-110</t>
  </si>
  <si>
    <t>16.06.2026</t>
  </si>
  <si>
    <t>30/111</t>
  </si>
  <si>
    <t>8-111</t>
  </si>
  <si>
    <t>Хасанова Нигора Рашедовна</t>
  </si>
  <si>
    <t>Санам</t>
  </si>
  <si>
    <t>90 733 36 74</t>
  </si>
  <si>
    <t>tursunov Ulug'bek</t>
  </si>
  <si>
    <t>15.04.2026</t>
  </si>
  <si>
    <t>Зокирова Хурсандтош Юлдашевна</t>
  </si>
  <si>
    <t>Қашқадарё вилояти Китоб туман Алақуйлиқ МФЙ Мевали Кучаси 16-уй</t>
  </si>
  <si>
    <t>AE5239821</t>
  </si>
  <si>
    <t>30/114</t>
  </si>
  <si>
    <t>8-114</t>
  </si>
  <si>
    <t>Зоитов Шуҳратжон Зокирович</t>
  </si>
  <si>
    <t>Қашқадарё вилояти Китоб тумани Гулистон МФЙ Гулистон 68 дом 13 квартира</t>
  </si>
  <si>
    <t>AE3116935</t>
  </si>
  <si>
    <t>KITOB TUMAN IIV 10232</t>
  </si>
  <si>
    <t>30/115</t>
  </si>
  <si>
    <t>8-115</t>
  </si>
  <si>
    <t>Асака бонкдан 150 минг прастрочка бор</t>
  </si>
  <si>
    <t>Абдусатторова  Шахризода Азамат қизи</t>
  </si>
  <si>
    <t>Каримова Дилшода Негматулла қизи</t>
  </si>
  <si>
    <t>Қашқадарё вилояти Китоб туман Бештерак МФЙ Кухна кеш кучаси 7-уй</t>
  </si>
  <si>
    <t>AE3402451</t>
  </si>
  <si>
    <t>30/117</t>
  </si>
  <si>
    <t>8-117</t>
  </si>
  <si>
    <t>15/119</t>
  </si>
  <si>
    <t>8-119</t>
  </si>
  <si>
    <t>Сатторова Сабоҳат Абдумалик қизи</t>
  </si>
  <si>
    <t>Қашқадарё вилояти Китоб тумани Чармгар МФЙ Комолот кўчаси 7 уй</t>
  </si>
  <si>
    <t>AB6682323</t>
  </si>
  <si>
    <t>Нейматов Сирожиддин ўғли</t>
  </si>
  <si>
    <t>Қашқадарё вилоят Китоб тумани Бустон МФЙ Бобур кўчаси 33/2 уй</t>
  </si>
  <si>
    <t>AD5889089</t>
  </si>
  <si>
    <t>Алимова Марифат</t>
  </si>
  <si>
    <t>15.04.20226</t>
  </si>
  <si>
    <t>Қобилова Зебо Назаровна</t>
  </si>
  <si>
    <t>Қашқадарё вилояти Яккабоғ туман  Турон МФЙ 20-уй</t>
  </si>
  <si>
    <t>AB8062035</t>
  </si>
  <si>
    <t>Отабеком Бахтиёр Отабек ўғли</t>
  </si>
  <si>
    <t>Қашқадарё вилояти Китоб тумани Янги Обод МФЙ Янги Обод кучаси 3/12-уй</t>
  </si>
  <si>
    <t>AE3143151</t>
  </si>
  <si>
    <t>Kitob Tumani IIV</t>
  </si>
  <si>
    <t>Турдиева Зохира Турди қизи</t>
  </si>
  <si>
    <t>Қашқадарё вилояти Китоб тумани Парчакент МФЙ Улуғбек кўчаси 7-уй</t>
  </si>
  <si>
    <t>АЕ6345249</t>
  </si>
  <si>
    <t>Нотариус &amp; Кодастор тулов бизадан</t>
  </si>
  <si>
    <t>Самадова Шахноза Қиёмиддин қизи</t>
  </si>
  <si>
    <t>Мамарахимова Саодат Давутовна</t>
  </si>
  <si>
    <t>Саидова Ирода Фарход қизи</t>
  </si>
  <si>
    <t>Қашқадарё вилояти Китоб тумани Чармгар МФЙ Чармгар маҳалла 20 уй</t>
  </si>
  <si>
    <t>AB5359050</t>
  </si>
  <si>
    <t>QASHQADARYO VILOYATI KITOB TUMAN IIB</t>
  </si>
  <si>
    <t>Tosheva Zulayxo</t>
  </si>
  <si>
    <t>Қашқадарё вилояти Китоб тумани Пахтаобод МФЙ Қумқишлоқ кучаси 73-уй</t>
  </si>
  <si>
    <t>"AB"7661639</t>
  </si>
  <si>
    <t>Хасанова Юлдуз Абдираимовна</t>
  </si>
  <si>
    <t>Қашқадарё вилояти  Китоб тумани  Шарқ юлдузи Рус қишлоғи 160-уй</t>
  </si>
  <si>
    <t>AD4080888</t>
  </si>
  <si>
    <t>Улуғбеков Фарход Улуғбек уғли</t>
  </si>
  <si>
    <t>Қашқадарё вилояти Китоб туман Макрит МФЙ 03-уй</t>
  </si>
  <si>
    <t>AB8961613</t>
  </si>
  <si>
    <t>Каримова Dilsuz Қурбоновна</t>
  </si>
  <si>
    <t>Қашқадарё вилояти Китоб тумани Янгиобод МФЙ Янгиобод кучаси 21-уй 3-хонадон</t>
  </si>
  <si>
    <t>AC0575385</t>
  </si>
  <si>
    <t>Тошева Чарос Суюн қизи</t>
  </si>
  <si>
    <t>AC2779849</t>
  </si>
  <si>
    <t>Ергашева Фароғат Содиқовна</t>
  </si>
  <si>
    <t>Қашқадарё вилояти Китоб туман Санам МФЙ Шахрисабз кучаси 294-уй</t>
  </si>
  <si>
    <t>AB4486638</t>
  </si>
  <si>
    <t>Ешқулова Мутабар Файзуллаевна</t>
  </si>
  <si>
    <t>Қашқадарё вилояти Китоб тумани  Истиқбол МФЙ Қашқадарё кучаси 30-уй</t>
  </si>
  <si>
    <t>АВ9887041</t>
  </si>
  <si>
    <t>Китоб Тумани ИИБ</t>
  </si>
  <si>
    <t>1-16</t>
  </si>
  <si>
    <t xml:space="preserve">Омонов Собир </t>
  </si>
  <si>
    <t>Исроилова Шодия Ҳусан қизи</t>
  </si>
  <si>
    <t>Қашқадарё вилояти Пахтаобод МФЙ Қумқишлоғи 5 уй</t>
  </si>
  <si>
    <t>AB5143767</t>
  </si>
  <si>
    <t>QASHQADARYO VILOYATI KITOB TUMANI IIB</t>
  </si>
  <si>
    <t>1-18</t>
  </si>
  <si>
    <t>o'chirilgan ... (Lid bazadan olindi)</t>
  </si>
  <si>
    <t>Хакимова Шахризода Бекмурод қизи</t>
  </si>
  <si>
    <t xml:space="preserve">Қашқадарё вилояти Китоб туман Синабоғ МФЙ </t>
  </si>
  <si>
    <t>AC1899605</t>
  </si>
  <si>
    <t>Комилов Шахзодбек Дилшодзода</t>
  </si>
  <si>
    <t>Қашқадарё вилояти Китоб туман Обиканда МФЙ 105-уй</t>
  </si>
  <si>
    <t>AB8659445</t>
  </si>
  <si>
    <t>30/20</t>
  </si>
  <si>
    <t>1-20</t>
  </si>
  <si>
    <t>29.05.2026</t>
  </si>
  <si>
    <t>4A</t>
  </si>
  <si>
    <t>3 хонали</t>
  </si>
  <si>
    <t>4А</t>
  </si>
  <si>
    <t>Login</t>
  </si>
  <si>
    <t>Parol</t>
  </si>
  <si>
    <t>Rol</t>
  </si>
  <si>
    <r>
      <rPr>
        <b/>
        <sz val="10"/>
        <color rgb="FFFFFFFF"/>
        <rFont val="Arial"/>
      </rPr>
      <t xml:space="preserve">To'liq </t>
    </r>
    <r>
      <rPr>
        <b/>
        <u/>
        <sz val="10"/>
        <color rgb="FF1155CC"/>
        <rFont val="Arial"/>
      </rPr>
      <t>F.I.Sh</t>
    </r>
  </si>
  <si>
    <t>Telegram ID</t>
  </si>
  <si>
    <t>Saidjonov_Sunnatillo</t>
  </si>
  <si>
    <t>S19991226</t>
  </si>
  <si>
    <t>Admin</t>
  </si>
  <si>
    <t>Abdivoitov_Mansur</t>
  </si>
  <si>
    <t>Sotuv Menejeri</t>
  </si>
  <si>
    <t>Amirova_Gavhar</t>
  </si>
  <si>
    <t>Amirova_Farinoz</t>
  </si>
  <si>
    <t>F0111</t>
  </si>
  <si>
    <t>Mobilogrof &amp; Aloqa operator</t>
  </si>
  <si>
    <t>Amirova Farinoz</t>
  </si>
  <si>
    <t>Rahmatullayeva_Sevinch</t>
  </si>
  <si>
    <t>Alisher_Samadov</t>
  </si>
  <si>
    <t>A3538</t>
  </si>
  <si>
    <t>Derektor</t>
  </si>
  <si>
    <t>Samadov Alisher</t>
  </si>
  <si>
    <t>FAYZLI XONADONLAR - 2-BINO TIZIMI</t>
  </si>
  <si>
    <t>Boshlang'ich to'lov ulushi</t>
  </si>
  <si>
    <t>1-qavat narxi (so'm / m²)</t>
  </si>
  <si>
    <t>2-qavat narxi (so'm / m²)</t>
  </si>
  <si>
    <t>3-qavat narxi (so'm / m²)</t>
  </si>
  <si>
    <t>4-qavat narxi (so'm / m²)</t>
  </si>
  <si>
    <t>5-qavat narxi (so'm / m²)</t>
  </si>
  <si>
    <t>Sotuvchi tashkilot</t>
  </si>
  <si>
    <t>KITOB FAYZ QURILISH MCHJ</t>
  </si>
  <si>
    <t>Direktor</t>
  </si>
  <si>
    <t>Samadov Alisher Qiyomiddin o‘g‘li</t>
  </si>
  <si>
    <t>Obyekt manzili</t>
  </si>
  <si>
    <t>Kitob tumani Guliston MFY Guliston ko‘chasi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</si>
</sst>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.mm\.yyyy"/>
    <numFmt numFmtId="165" formatCode="dd/mm"/>
    <numFmt numFmtId="166" formatCode="d\-m"/>
    <numFmt numFmtId="167" formatCode="d\.m\.yyyy"/>
    <numFmt numFmtId="168" formatCode="d/m"/>
  </numFmts>
  <fonts count="10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b/>
      <sz val="10"/>
      <color rgb="FFFFFFFF"/>
      <name val="Arial"/>
      <scheme val="minor"/>
    </font>
    <font>
      <sz val="11"/>
      <color theme="1"/>
      <name val="Calibri"/>
    </font>
    <font>
      <sz val="10"/>
      <color theme="1"/>
      <name val="Arial"/>
      <scheme val="minor"/>
    </font>
    <font>
      <sz val="11"/>
      <color rgb="FF000000"/>
      <name val="Calibri"/>
    </font>
    <font>
      <b/>
      <u/>
      <sz val="10"/>
      <color rgb="FFFFFFFF"/>
      <name val="Arial"/>
    </font>
    <font>
      <b/>
      <sz val="10"/>
      <color theme="1"/>
      <name val="Arial"/>
      <scheme val="minor"/>
    </font>
    <font>
      <b/>
      <sz val="10"/>
      <color rgb="FFFFFFFF"/>
      <name val="Arial"/>
    </font>
    <font>
      <b/>
      <u/>
      <sz val="10"/>
      <color rgb="FF1155CC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9EAF7"/>
        <bgColor rgb="FFD9EAF7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000000"/>
      </left>
      <right style="thin">
        <color rgb="FFBFBFBF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/>
    <xf numFmtId="49" fontId="4" fillId="0" borderId="0" xfId="0" applyNumberFormat="1" applyFont="1"/>
    <xf numFmtId="0" fontId="4" fillId="0" borderId="0" xfId="0" applyFont="1"/>
    <xf numFmtId="0" fontId="3" fillId="3" borderId="2" xfId="0" applyFont="1" applyFill="1" applyBorder="1" applyAlignment="1">
      <alignment horizontal="center" vertical="center"/>
    </xf>
    <xf numFmtId="4" fontId="3" fillId="3" borderId="2" xfId="0" applyNumberFormat="1" applyFont="1" applyFill="1" applyBorder="1" applyAlignment="1">
      <alignment horizontal="center" vertical="center"/>
    </xf>
    <xf numFmtId="3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4" fontId="3" fillId="4" borderId="4" xfId="0" applyNumberFormat="1" applyFont="1" applyFill="1" applyBorder="1" applyAlignment="1">
      <alignment horizontal="center" vertical="center"/>
    </xf>
    <xf numFmtId="3" fontId="3" fillId="4" borderId="4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left" vertical="center"/>
    </xf>
    <xf numFmtId="164" fontId="3" fillId="4" borderId="4" xfId="0" applyNumberFormat="1" applyFont="1" applyFill="1" applyBorder="1" applyAlignment="1">
      <alignment horizontal="center" vertical="center"/>
    </xf>
    <xf numFmtId="165" fontId="3" fillId="4" borderId="5" xfId="0" applyNumberFormat="1" applyFont="1" applyFill="1" applyBorder="1" applyAlignment="1">
      <alignment horizontal="center" vertical="center"/>
    </xf>
    <xf numFmtId="166" fontId="3" fillId="0" borderId="6" xfId="0" applyNumberFormat="1" applyFont="1" applyBorder="1"/>
    <xf numFmtId="0" fontId="3" fillId="4" borderId="7" xfId="0" applyFont="1" applyFill="1" applyBorder="1" applyAlignment="1">
      <alignment horizontal="center" vertical="center"/>
    </xf>
    <xf numFmtId="4" fontId="3" fillId="4" borderId="7" xfId="0" applyNumberFormat="1" applyFont="1" applyFill="1" applyBorder="1" applyAlignment="1">
      <alignment horizontal="center" vertical="center"/>
    </xf>
    <xf numFmtId="3" fontId="3" fillId="4" borderId="7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164" fontId="3" fillId="4" borderId="7" xfId="0" applyNumberFormat="1" applyFont="1" applyFill="1" applyBorder="1" applyAlignment="1">
      <alignment horizontal="center" vertical="center"/>
    </xf>
    <xf numFmtId="166" fontId="3" fillId="0" borderId="1" xfId="0" applyNumberFormat="1" applyFont="1" applyBorder="1"/>
    <xf numFmtId="0" fontId="3" fillId="4" borderId="5" xfId="0" applyFont="1" applyFill="1" applyBorder="1" applyAlignment="1">
      <alignment horizontal="center" vertical="center"/>
    </xf>
    <xf numFmtId="0" fontId="3" fillId="0" borderId="6" xfId="0" applyFont="1" applyBorder="1"/>
    <xf numFmtId="0" fontId="3" fillId="4" borderId="7" xfId="0" quotePrefix="1" applyFont="1" applyFill="1" applyBorder="1" applyAlignment="1">
      <alignment horizontal="left" vertical="center"/>
    </xf>
    <xf numFmtId="0" fontId="3" fillId="4" borderId="4" xfId="0" quotePrefix="1" applyFont="1" applyFill="1" applyBorder="1" applyAlignment="1">
      <alignment horizontal="left" vertical="center"/>
    </xf>
    <xf numFmtId="167" fontId="3" fillId="4" borderId="4" xfId="0" applyNumberFormat="1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4" fontId="3" fillId="5" borderId="4" xfId="0" applyNumberFormat="1" applyFont="1" applyFill="1" applyBorder="1" applyAlignment="1">
      <alignment horizontal="center" vertical="center"/>
    </xf>
    <xf numFmtId="3" fontId="3" fillId="5" borderId="4" xfId="0" applyNumberFormat="1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left" vertical="center"/>
    </xf>
    <xf numFmtId="164" fontId="3" fillId="5" borderId="4" xfId="0" applyNumberFormat="1" applyFont="1" applyFill="1" applyBorder="1" applyAlignment="1">
      <alignment horizontal="center" vertical="center"/>
    </xf>
    <xf numFmtId="165" fontId="3" fillId="5" borderId="5" xfId="0" applyNumberFormat="1" applyFont="1" applyFill="1" applyBorder="1" applyAlignment="1">
      <alignment horizontal="center" vertical="center"/>
    </xf>
    <xf numFmtId="166" fontId="3" fillId="0" borderId="6" xfId="0" applyNumberFormat="1" applyFont="1" applyBorder="1" applyAlignment="1">
      <alignment horizontal="left"/>
    </xf>
    <xf numFmtId="0" fontId="3" fillId="5" borderId="7" xfId="0" applyFont="1" applyFill="1" applyBorder="1" applyAlignment="1">
      <alignment horizontal="center" vertical="center"/>
    </xf>
    <xf numFmtId="4" fontId="3" fillId="5" borderId="7" xfId="0" applyNumberFormat="1" applyFont="1" applyFill="1" applyBorder="1" applyAlignment="1">
      <alignment horizontal="center" vertical="center"/>
    </xf>
    <xf numFmtId="3" fontId="3" fillId="5" borderId="7" xfId="0" applyNumberFormat="1" applyFont="1" applyFill="1" applyBorder="1" applyAlignment="1">
      <alignment horizontal="center" vertical="center"/>
    </xf>
    <xf numFmtId="0" fontId="4" fillId="5" borderId="0" xfId="0" applyFont="1" applyFill="1"/>
    <xf numFmtId="164" fontId="3" fillId="5" borderId="7" xfId="0" applyNumberFormat="1" applyFont="1" applyFill="1" applyBorder="1" applyAlignment="1">
      <alignment horizontal="center" vertical="center"/>
    </xf>
    <xf numFmtId="0" fontId="4" fillId="5" borderId="0" xfId="0" applyFont="1" applyFill="1" applyAlignment="1">
      <alignment horizontal="left"/>
    </xf>
    <xf numFmtId="166" fontId="3" fillId="0" borderId="1" xfId="0" applyNumberFormat="1" applyFont="1" applyBorder="1" applyAlignment="1">
      <alignment horizontal="left"/>
    </xf>
    <xf numFmtId="0" fontId="4" fillId="5" borderId="8" xfId="0" applyFont="1" applyFill="1" applyBorder="1"/>
    <xf numFmtId="0" fontId="4" fillId="5" borderId="8" xfId="0" applyFont="1" applyFill="1" applyBorder="1" applyAlignment="1">
      <alignment horizontal="left"/>
    </xf>
    <xf numFmtId="0" fontId="3" fillId="5" borderId="5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65" fontId="3" fillId="5" borderId="7" xfId="0" applyNumberFormat="1" applyFont="1" applyFill="1" applyBorder="1" applyAlignment="1">
      <alignment horizontal="center" vertical="center"/>
    </xf>
    <xf numFmtId="168" fontId="3" fillId="5" borderId="7" xfId="0" applyNumberFormat="1" applyFont="1" applyFill="1" applyBorder="1" applyAlignment="1">
      <alignment horizontal="center" vertical="center"/>
    </xf>
    <xf numFmtId="168" fontId="3" fillId="5" borderId="5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4" fontId="3" fillId="5" borderId="2" xfId="0" applyNumberFormat="1" applyFont="1" applyFill="1" applyBorder="1" applyAlignment="1">
      <alignment horizontal="center" vertical="center"/>
    </xf>
    <xf numFmtId="3" fontId="3" fillId="5" borderId="2" xfId="0" applyNumberFormat="1" applyFont="1" applyFill="1" applyBorder="1" applyAlignment="1">
      <alignment horizontal="center" vertical="center"/>
    </xf>
    <xf numFmtId="164" fontId="3" fillId="5" borderId="2" xfId="0" applyNumberFormat="1" applyFont="1" applyFill="1" applyBorder="1" applyAlignment="1">
      <alignment horizontal="center" vertical="center"/>
    </xf>
    <xf numFmtId="0" fontId="5" fillId="5" borderId="8" xfId="0" applyFont="1" applyFill="1" applyBorder="1" applyAlignment="1">
      <alignment vertical="center"/>
    </xf>
    <xf numFmtId="0" fontId="3" fillId="6" borderId="7" xfId="0" applyFont="1" applyFill="1" applyBorder="1" applyAlignment="1">
      <alignment horizontal="center" vertical="center"/>
    </xf>
    <xf numFmtId="4" fontId="3" fillId="6" borderId="7" xfId="0" applyNumberFormat="1" applyFont="1" applyFill="1" applyBorder="1" applyAlignment="1">
      <alignment horizontal="center" vertical="center"/>
    </xf>
    <xf numFmtId="3" fontId="3" fillId="6" borderId="4" xfId="0" applyNumberFormat="1" applyFont="1" applyFill="1" applyBorder="1" applyAlignment="1">
      <alignment horizontal="center" vertical="center"/>
    </xf>
    <xf numFmtId="0" fontId="4" fillId="6" borderId="0" xfId="0" applyFont="1" applyFill="1"/>
    <xf numFmtId="164" fontId="3" fillId="6" borderId="7" xfId="0" applyNumberFormat="1" applyFont="1" applyFill="1" applyBorder="1" applyAlignment="1">
      <alignment horizontal="center" vertical="center"/>
    </xf>
    <xf numFmtId="0" fontId="4" fillId="6" borderId="0" xfId="0" applyFont="1" applyFill="1" applyAlignment="1">
      <alignment horizontal="left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4" fontId="3" fillId="6" borderId="4" xfId="0" applyNumberFormat="1" applyFont="1" applyFill="1" applyBorder="1" applyAlignment="1">
      <alignment horizontal="center" vertical="center"/>
    </xf>
    <xf numFmtId="3" fontId="3" fillId="6" borderId="7" xfId="0" applyNumberFormat="1" applyFont="1" applyFill="1" applyBorder="1" applyAlignment="1">
      <alignment horizontal="center" vertical="center"/>
    </xf>
    <xf numFmtId="0" fontId="5" fillId="6" borderId="0" xfId="0" applyFont="1" applyFill="1" applyAlignment="1">
      <alignment vertical="center"/>
    </xf>
    <xf numFmtId="0" fontId="3" fillId="6" borderId="4" xfId="0" applyFont="1" applyFill="1" applyBorder="1" applyAlignment="1">
      <alignment horizontal="left" vertical="center"/>
    </xf>
    <xf numFmtId="164" fontId="3" fillId="6" borderId="4" xfId="0" applyNumberFormat="1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4" fontId="3" fillId="6" borderId="2" xfId="0" applyNumberFormat="1" applyFont="1" applyFill="1" applyBorder="1" applyAlignment="1">
      <alignment horizontal="center" vertical="center"/>
    </xf>
    <xf numFmtId="164" fontId="3" fillId="6" borderId="2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7" fillId="7" borderId="1" xfId="0" applyFont="1" applyFill="1" applyBorder="1"/>
    <xf numFmtId="9" fontId="3" fillId="0" borderId="1" xfId="0" applyNumberFormat="1" applyFont="1" applyBorder="1"/>
  </cellXfs>
  <cellStyles count="1">
    <cellStyle name="Обычный" xfId="0" builtinId="0"/>
  </cellStyles>
  <dxfs count="4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390525</xdr:colOff>
      <xdr:row>16</xdr:row>
      <xdr:rowOff>76200</xdr:rowOff>
    </xdr:from>
    <xdr:ext cx="1838325" cy="419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411200" y="489825"/>
          <a:ext cx="1538400" cy="4002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Shartnoma Yarat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f.i.sh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workbookViewId="0">
      <pane ySplit="1" topLeftCell="A214" activePane="bottomLeft" state="frozen"/>
      <selection pane="bottomLeft" activeCell="H245" sqref="H245"/>
    </sheetView>
  </sheetViews>
  <sheetFormatPr defaultColWidth="12.6640625" defaultRowHeight="15.75" customHeight="1" x14ac:dyDescent="0.25"/>
  <cols>
    <col min="1" max="1" width="6.109375" customWidth="1"/>
    <col min="2" max="2" width="8.109375" customWidth="1"/>
    <col min="3" max="3" width="10.33203125" customWidth="1"/>
    <col min="4" max="4" width="9.88671875" customWidth="1"/>
    <col min="5" max="6" width="11.77734375" customWidth="1"/>
    <col min="7" max="7" width="10.44140625" customWidth="1"/>
    <col min="8" max="8" width="10.77734375" customWidth="1"/>
    <col min="9" max="9" width="14" customWidth="1"/>
    <col min="10" max="10" width="15.77734375" customWidth="1"/>
    <col min="11" max="11" width="14" customWidth="1"/>
    <col min="12" max="12" width="11.77734375" customWidth="1"/>
    <col min="13" max="13" width="38.6640625" customWidth="1"/>
    <col min="14" max="14" width="36.77734375" customWidth="1"/>
    <col min="15" max="15" width="15.77734375" customWidth="1"/>
    <col min="16" max="16" width="24.44140625" customWidth="1"/>
    <col min="17" max="19" width="14" customWidth="1"/>
    <col min="20" max="20" width="12.21875" customWidth="1"/>
    <col min="21" max="21" width="10.44140625" customWidth="1"/>
    <col min="22" max="22" width="7.6640625" customWidth="1"/>
    <col min="23" max="23" width="18.88671875" customWidth="1"/>
    <col min="24" max="24" width="8.109375" customWidth="1"/>
    <col min="25" max="25" width="10.21875" customWidth="1"/>
    <col min="26" max="26" width="10.44140625" customWidth="1"/>
  </cols>
  <sheetData>
    <row r="1" spans="1:2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5.75" customHeight="1" x14ac:dyDescent="0.3">
      <c r="A2" s="3">
        <v>1</v>
      </c>
      <c r="B2" s="3">
        <v>1</v>
      </c>
      <c r="C2" s="3">
        <v>1</v>
      </c>
      <c r="D2" s="3">
        <v>1</v>
      </c>
      <c r="E2" s="3">
        <v>1</v>
      </c>
      <c r="F2" s="3" t="s">
        <v>26</v>
      </c>
      <c r="G2" s="4">
        <v>48.15</v>
      </c>
      <c r="H2" s="5">
        <v>7700000</v>
      </c>
      <c r="I2" s="5">
        <v>370755000</v>
      </c>
      <c r="J2" s="5">
        <f>I2*Settings!$B$2</f>
        <v>74151000</v>
      </c>
      <c r="K2" s="5">
        <f t="shared" ref="K2:K17" si="0">I2-J2</f>
        <v>296604000</v>
      </c>
      <c r="L2" s="3" t="s">
        <v>27</v>
      </c>
      <c r="M2" s="6" t="s">
        <v>28</v>
      </c>
      <c r="N2" s="6"/>
      <c r="O2" s="6"/>
      <c r="P2" s="6"/>
      <c r="Q2" s="7"/>
      <c r="R2" s="6">
        <v>881776670</v>
      </c>
      <c r="S2" s="6">
        <v>934229955</v>
      </c>
      <c r="T2" s="7">
        <v>46076</v>
      </c>
      <c r="U2" s="3" t="str">
        <f t="shared" ref="U2:U17" si="1">TEXT(T2,"dd")&amp;"/"&amp;TEXT(E2,"00")</f>
        <v>dd/01</v>
      </c>
      <c r="V2" s="8" t="str">
        <f t="shared" ref="V2:V17" si="2">C2&amp;"-"&amp;E2</f>
        <v>1-1</v>
      </c>
      <c r="Y2" s="9"/>
      <c r="Z2" s="9"/>
    </row>
    <row r="3" spans="1:26" ht="15.75" customHeight="1" x14ac:dyDescent="0.3">
      <c r="A3" s="3">
        <v>2</v>
      </c>
      <c r="B3" s="3">
        <v>1</v>
      </c>
      <c r="C3" s="3">
        <v>1</v>
      </c>
      <c r="D3" s="3">
        <v>1</v>
      </c>
      <c r="E3" s="3">
        <v>2</v>
      </c>
      <c r="F3" s="3" t="s">
        <v>29</v>
      </c>
      <c r="G3" s="4">
        <v>28.52</v>
      </c>
      <c r="H3" s="5">
        <f t="array" ref="H3">INDEX(Settings!$B$3:$B$7, D3)</f>
        <v>7700000</v>
      </c>
      <c r="I3" s="5">
        <f t="shared" ref="I3:I17" si="3">G3*H3</f>
        <v>219604000</v>
      </c>
      <c r="J3" s="5">
        <f>I3*Settings!$B$2</f>
        <v>43920800</v>
      </c>
      <c r="K3" s="5">
        <f t="shared" si="0"/>
        <v>175683200</v>
      </c>
      <c r="L3" s="3" t="s">
        <v>27</v>
      </c>
      <c r="M3" s="6" t="s">
        <v>30</v>
      </c>
      <c r="N3" s="6"/>
      <c r="O3" s="6"/>
      <c r="P3" s="6"/>
      <c r="Q3" s="7"/>
      <c r="R3" s="6"/>
      <c r="S3" s="6"/>
      <c r="T3" s="7">
        <v>46071</v>
      </c>
      <c r="U3" s="3" t="str">
        <f t="shared" si="1"/>
        <v>dd/02</v>
      </c>
      <c r="V3" s="8" t="str">
        <f t="shared" si="2"/>
        <v>1-2</v>
      </c>
      <c r="Y3" s="9"/>
      <c r="Z3" s="9"/>
    </row>
    <row r="4" spans="1:26" ht="15.75" customHeight="1" x14ac:dyDescent="0.3">
      <c r="A4" s="3">
        <v>3</v>
      </c>
      <c r="B4" s="3">
        <v>1</v>
      </c>
      <c r="C4" s="3">
        <v>1</v>
      </c>
      <c r="D4" s="3">
        <v>1</v>
      </c>
      <c r="E4" s="3">
        <v>3</v>
      </c>
      <c r="F4" s="3" t="s">
        <v>29</v>
      </c>
      <c r="G4" s="4">
        <v>31.31</v>
      </c>
      <c r="H4" s="5">
        <f t="array" ref="H4">INDEX(Settings!$B$3:$B$7, D4)</f>
        <v>7700000</v>
      </c>
      <c r="I4" s="5">
        <f t="shared" si="3"/>
        <v>241087000</v>
      </c>
      <c r="J4" s="5">
        <f>I4*Settings!$B$2</f>
        <v>48217400</v>
      </c>
      <c r="K4" s="5">
        <f t="shared" si="0"/>
        <v>192869600</v>
      </c>
      <c r="L4" s="3" t="s">
        <v>27</v>
      </c>
      <c r="M4" s="6" t="s">
        <v>31</v>
      </c>
      <c r="N4" s="6"/>
      <c r="O4" s="6"/>
      <c r="P4" s="6"/>
      <c r="Q4" s="7"/>
      <c r="R4" s="6"/>
      <c r="S4" s="6"/>
      <c r="T4" s="7">
        <v>46066</v>
      </c>
      <c r="U4" s="3" t="str">
        <f t="shared" si="1"/>
        <v>dd/03</v>
      </c>
      <c r="V4" s="8" t="str">
        <f t="shared" si="2"/>
        <v>1-3</v>
      </c>
      <c r="Y4" s="9"/>
      <c r="Z4" s="9"/>
    </row>
    <row r="5" spans="1:26" ht="15.75" customHeight="1" x14ac:dyDescent="0.3">
      <c r="A5" s="3">
        <v>4</v>
      </c>
      <c r="B5" s="3">
        <v>1</v>
      </c>
      <c r="C5" s="3">
        <v>1</v>
      </c>
      <c r="D5" s="3">
        <v>1</v>
      </c>
      <c r="E5" s="3">
        <v>4</v>
      </c>
      <c r="F5" s="3" t="s">
        <v>29</v>
      </c>
      <c r="G5" s="4">
        <v>29.04</v>
      </c>
      <c r="H5" s="5">
        <f t="array" ref="H5">INDEX(Settings!$B$3:$B$7, D5)</f>
        <v>7700000</v>
      </c>
      <c r="I5" s="5">
        <f t="shared" si="3"/>
        <v>223608000</v>
      </c>
      <c r="J5" s="5">
        <f>I5*Settings!$B$2</f>
        <v>44721600</v>
      </c>
      <c r="K5" s="5">
        <f t="shared" si="0"/>
        <v>178886400</v>
      </c>
      <c r="L5" s="3" t="s">
        <v>27</v>
      </c>
      <c r="M5" s="6" t="s">
        <v>32</v>
      </c>
      <c r="N5" s="6"/>
      <c r="O5" s="6"/>
      <c r="P5" s="6"/>
      <c r="Q5" s="7"/>
      <c r="R5" s="6"/>
      <c r="S5" s="6"/>
      <c r="T5" s="7">
        <v>46078</v>
      </c>
      <c r="U5" s="3" t="str">
        <f t="shared" si="1"/>
        <v>dd/04</v>
      </c>
      <c r="V5" s="8" t="str">
        <f t="shared" si="2"/>
        <v>1-4</v>
      </c>
      <c r="Y5" s="9"/>
      <c r="Z5" s="9"/>
    </row>
    <row r="6" spans="1:26" ht="15.75" customHeight="1" x14ac:dyDescent="0.3">
      <c r="A6" s="3">
        <v>5</v>
      </c>
      <c r="B6" s="3">
        <v>1</v>
      </c>
      <c r="C6" s="3">
        <v>1</v>
      </c>
      <c r="D6" s="3">
        <v>2</v>
      </c>
      <c r="E6" s="3">
        <v>5</v>
      </c>
      <c r="F6" s="3" t="s">
        <v>26</v>
      </c>
      <c r="G6" s="4">
        <v>48.15</v>
      </c>
      <c r="H6" s="5">
        <f t="array" ref="H6">INDEX(Settings!$B$3:$B$7, D6)</f>
        <v>7800000</v>
      </c>
      <c r="I6" s="5">
        <f t="shared" si="3"/>
        <v>375570000</v>
      </c>
      <c r="J6" s="5">
        <f>I6*Settings!$B$2</f>
        <v>75114000</v>
      </c>
      <c r="K6" s="5">
        <f t="shared" si="0"/>
        <v>300456000</v>
      </c>
      <c r="L6" s="3" t="s">
        <v>27</v>
      </c>
      <c r="M6" s="6" t="s">
        <v>33</v>
      </c>
      <c r="N6" s="6"/>
      <c r="O6" s="6"/>
      <c r="P6" s="6"/>
      <c r="Q6" s="7"/>
      <c r="R6" s="6">
        <v>332662514</v>
      </c>
      <c r="S6" s="6"/>
      <c r="T6" s="7">
        <v>45957</v>
      </c>
      <c r="U6" s="3" t="str">
        <f t="shared" si="1"/>
        <v>dd/05</v>
      </c>
      <c r="V6" s="8" t="str">
        <f t="shared" si="2"/>
        <v>1-5</v>
      </c>
      <c r="Y6" s="9"/>
      <c r="Z6" s="9"/>
    </row>
    <row r="7" spans="1:26" ht="15.75" customHeight="1" x14ac:dyDescent="0.3">
      <c r="A7" s="3">
        <v>6</v>
      </c>
      <c r="B7" s="3">
        <v>1</v>
      </c>
      <c r="C7" s="3">
        <v>1</v>
      </c>
      <c r="D7" s="3">
        <v>2</v>
      </c>
      <c r="E7" s="3">
        <v>6</v>
      </c>
      <c r="F7" s="3" t="s">
        <v>29</v>
      </c>
      <c r="G7" s="4">
        <v>28.52</v>
      </c>
      <c r="H7" s="5">
        <f t="array" ref="H7">INDEX(Settings!$B$3:$B$7, D7)</f>
        <v>7800000</v>
      </c>
      <c r="I7" s="5">
        <f t="shared" si="3"/>
        <v>222456000</v>
      </c>
      <c r="J7" s="5">
        <f>I7*Settings!$B$2</f>
        <v>44491200</v>
      </c>
      <c r="K7" s="5">
        <f t="shared" si="0"/>
        <v>177964800</v>
      </c>
      <c r="L7" s="3" t="s">
        <v>27</v>
      </c>
      <c r="M7" s="6" t="s">
        <v>34</v>
      </c>
      <c r="N7" s="6"/>
      <c r="O7" s="6"/>
      <c r="P7" s="6"/>
      <c r="Q7" s="7"/>
      <c r="R7" s="6">
        <v>973197588</v>
      </c>
      <c r="S7" s="6"/>
      <c r="T7" s="7">
        <v>46015</v>
      </c>
      <c r="U7" s="3" t="str">
        <f t="shared" si="1"/>
        <v>dd/06</v>
      </c>
      <c r="V7" s="8" t="str">
        <f t="shared" si="2"/>
        <v>1-6</v>
      </c>
      <c r="Y7" s="9"/>
      <c r="Z7" s="9"/>
    </row>
    <row r="8" spans="1:26" ht="15.75" customHeight="1" x14ac:dyDescent="0.3">
      <c r="A8" s="3">
        <v>7</v>
      </c>
      <c r="B8" s="3">
        <v>1</v>
      </c>
      <c r="C8" s="3">
        <v>1</v>
      </c>
      <c r="D8" s="3">
        <v>2</v>
      </c>
      <c r="E8" s="3">
        <v>7</v>
      </c>
      <c r="F8" s="3" t="s">
        <v>29</v>
      </c>
      <c r="G8" s="4">
        <v>31.31</v>
      </c>
      <c r="H8" s="5">
        <f t="array" ref="H8">INDEX(Settings!$B$3:$B$7, D8)</f>
        <v>7800000</v>
      </c>
      <c r="I8" s="5">
        <f t="shared" si="3"/>
        <v>244218000</v>
      </c>
      <c r="J8" s="5">
        <f>I8*Settings!$B$2</f>
        <v>48843600</v>
      </c>
      <c r="K8" s="5">
        <f t="shared" si="0"/>
        <v>195374400</v>
      </c>
      <c r="L8" s="3" t="s">
        <v>27</v>
      </c>
      <c r="M8" s="6" t="s">
        <v>35</v>
      </c>
      <c r="N8" s="6"/>
      <c r="O8" s="6"/>
      <c r="P8" s="6"/>
      <c r="Q8" s="7"/>
      <c r="R8" s="6">
        <v>500472781</v>
      </c>
      <c r="S8" s="6"/>
      <c r="T8" s="7">
        <v>46063</v>
      </c>
      <c r="U8" s="3" t="str">
        <f t="shared" si="1"/>
        <v>dd/07</v>
      </c>
      <c r="V8" s="8" t="str">
        <f t="shared" si="2"/>
        <v>1-7</v>
      </c>
      <c r="Y8" s="9"/>
      <c r="Z8" s="9"/>
    </row>
    <row r="9" spans="1:26" ht="15.75" customHeight="1" x14ac:dyDescent="0.3">
      <c r="A9" s="3">
        <v>8</v>
      </c>
      <c r="B9" s="3">
        <v>1</v>
      </c>
      <c r="C9" s="3">
        <v>1</v>
      </c>
      <c r="D9" s="3">
        <v>2</v>
      </c>
      <c r="E9" s="3">
        <v>8</v>
      </c>
      <c r="F9" s="3" t="s">
        <v>29</v>
      </c>
      <c r="G9" s="4">
        <v>29.04</v>
      </c>
      <c r="H9" s="5">
        <f t="array" ref="H9">INDEX(Settings!$B$3:$B$7, D9)</f>
        <v>7800000</v>
      </c>
      <c r="I9" s="5">
        <f t="shared" si="3"/>
        <v>226512000</v>
      </c>
      <c r="J9" s="5">
        <f>I9*Settings!$B$2</f>
        <v>45302400</v>
      </c>
      <c r="K9" s="5">
        <f t="shared" si="0"/>
        <v>181209600</v>
      </c>
      <c r="L9" s="3" t="s">
        <v>27</v>
      </c>
      <c r="M9" s="6" t="s">
        <v>36</v>
      </c>
      <c r="N9" s="6"/>
      <c r="O9" s="6"/>
      <c r="P9" s="6"/>
      <c r="Q9" s="7"/>
      <c r="R9" s="6">
        <v>973831989</v>
      </c>
      <c r="S9" s="6"/>
      <c r="T9" s="9" t="s">
        <v>37</v>
      </c>
      <c r="U9" s="3" t="str">
        <f t="shared" si="1"/>
        <v>dd/08</v>
      </c>
      <c r="V9" s="8" t="str">
        <f t="shared" si="2"/>
        <v>1-8</v>
      </c>
      <c r="W9" s="10" t="s">
        <v>38</v>
      </c>
      <c r="Y9" s="9"/>
      <c r="Z9" s="9"/>
    </row>
    <row r="10" spans="1:26" ht="15.75" customHeight="1" x14ac:dyDescent="0.3">
      <c r="A10" s="3">
        <v>9</v>
      </c>
      <c r="B10" s="3">
        <v>1</v>
      </c>
      <c r="C10" s="3">
        <v>1</v>
      </c>
      <c r="D10" s="3">
        <v>3</v>
      </c>
      <c r="E10" s="3">
        <v>9</v>
      </c>
      <c r="F10" s="3" t="s">
        <v>26</v>
      </c>
      <c r="G10" s="4">
        <v>48.15</v>
      </c>
      <c r="H10" s="5">
        <f t="array" ref="H10">INDEX(Settings!$B$3:$B$7, D10)</f>
        <v>7300000</v>
      </c>
      <c r="I10" s="5">
        <f t="shared" si="3"/>
        <v>351495000</v>
      </c>
      <c r="J10" s="5">
        <f>I10*Settings!$B$2</f>
        <v>70299000</v>
      </c>
      <c r="K10" s="5">
        <f t="shared" si="0"/>
        <v>281196000</v>
      </c>
      <c r="L10" s="3" t="s">
        <v>27</v>
      </c>
      <c r="M10" s="6" t="s">
        <v>39</v>
      </c>
      <c r="N10" s="6"/>
      <c r="O10" s="6"/>
      <c r="P10" s="6"/>
      <c r="Q10" s="7"/>
      <c r="R10" s="6"/>
      <c r="S10" s="6"/>
      <c r="T10" s="7">
        <v>45953</v>
      </c>
      <c r="U10" s="3" t="str">
        <f t="shared" si="1"/>
        <v>dd/09</v>
      </c>
      <c r="V10" s="8" t="str">
        <f t="shared" si="2"/>
        <v>1-9</v>
      </c>
      <c r="Y10" s="9"/>
      <c r="Z10" s="9"/>
    </row>
    <row r="11" spans="1:26" ht="15.75" customHeight="1" x14ac:dyDescent="0.3">
      <c r="A11" s="3">
        <v>10</v>
      </c>
      <c r="B11" s="3">
        <v>1</v>
      </c>
      <c r="C11" s="3">
        <v>1</v>
      </c>
      <c r="D11" s="3">
        <v>3</v>
      </c>
      <c r="E11" s="3">
        <v>10</v>
      </c>
      <c r="F11" s="3" t="s">
        <v>29</v>
      </c>
      <c r="G11" s="4">
        <v>28.52</v>
      </c>
      <c r="H11" s="5">
        <f t="array" ref="H11">INDEX(Settings!$B$3:$B$7, D11)</f>
        <v>7300000</v>
      </c>
      <c r="I11" s="5">
        <f t="shared" si="3"/>
        <v>208196000</v>
      </c>
      <c r="J11" s="5">
        <f>I11*Settings!$B$2</f>
        <v>41639200</v>
      </c>
      <c r="K11" s="5">
        <f t="shared" si="0"/>
        <v>166556800</v>
      </c>
      <c r="L11" s="3" t="s">
        <v>27</v>
      </c>
      <c r="M11" s="6" t="s">
        <v>40</v>
      </c>
      <c r="N11" s="6"/>
      <c r="O11" s="6"/>
      <c r="P11" s="6"/>
      <c r="Q11" s="7"/>
      <c r="R11" s="6">
        <v>918108592</v>
      </c>
      <c r="S11" s="6">
        <v>918162314</v>
      </c>
      <c r="T11" s="7">
        <v>45947</v>
      </c>
      <c r="U11" s="3" t="str">
        <f t="shared" si="1"/>
        <v>dd/10</v>
      </c>
      <c r="V11" s="8" t="str">
        <f t="shared" si="2"/>
        <v>1-10</v>
      </c>
      <c r="Y11" s="9"/>
      <c r="Z11" s="9"/>
    </row>
    <row r="12" spans="1:26" ht="15.75" customHeight="1" x14ac:dyDescent="0.3">
      <c r="A12" s="3">
        <v>11</v>
      </c>
      <c r="B12" s="3">
        <v>1</v>
      </c>
      <c r="C12" s="3">
        <v>1</v>
      </c>
      <c r="D12" s="3">
        <v>3</v>
      </c>
      <c r="E12" s="3">
        <v>11</v>
      </c>
      <c r="F12" s="3" t="s">
        <v>29</v>
      </c>
      <c r="G12" s="4">
        <v>31.31</v>
      </c>
      <c r="H12" s="5">
        <f t="array" ref="H12">INDEX(Settings!$B$3:$B$7, D12)</f>
        <v>7300000</v>
      </c>
      <c r="I12" s="5">
        <f t="shared" si="3"/>
        <v>228563000</v>
      </c>
      <c r="J12" s="5">
        <f>I12*Settings!$B$2</f>
        <v>45712600</v>
      </c>
      <c r="K12" s="5">
        <f t="shared" si="0"/>
        <v>182850400</v>
      </c>
      <c r="L12" s="3" t="s">
        <v>27</v>
      </c>
      <c r="M12" s="6" t="s">
        <v>41</v>
      </c>
      <c r="N12" s="6"/>
      <c r="O12" s="6"/>
      <c r="P12" s="6"/>
      <c r="Q12" s="7"/>
      <c r="R12" s="6">
        <v>904433033</v>
      </c>
      <c r="S12" s="6">
        <v>942727273</v>
      </c>
      <c r="T12" s="7">
        <v>46003</v>
      </c>
      <c r="U12" s="3" t="str">
        <f t="shared" si="1"/>
        <v>dd/11</v>
      </c>
      <c r="V12" s="8" t="str">
        <f t="shared" si="2"/>
        <v>1-11</v>
      </c>
      <c r="W12" s="10" t="s">
        <v>42</v>
      </c>
      <c r="Y12" s="9"/>
      <c r="Z12" s="9"/>
    </row>
    <row r="13" spans="1:26" ht="15.75" customHeight="1" x14ac:dyDescent="0.3">
      <c r="A13" s="3">
        <v>12</v>
      </c>
      <c r="B13" s="3">
        <v>1</v>
      </c>
      <c r="C13" s="3">
        <v>1</v>
      </c>
      <c r="D13" s="3">
        <v>3</v>
      </c>
      <c r="E13" s="3">
        <v>12</v>
      </c>
      <c r="F13" s="3" t="s">
        <v>29</v>
      </c>
      <c r="G13" s="4">
        <v>29.04</v>
      </c>
      <c r="H13" s="5">
        <f t="array" ref="H13">INDEX(Settings!$B$3:$B$7, D13)</f>
        <v>7300000</v>
      </c>
      <c r="I13" s="5">
        <f t="shared" si="3"/>
        <v>211992000</v>
      </c>
      <c r="J13" s="5">
        <f>I13*Settings!$B$2</f>
        <v>42398400</v>
      </c>
      <c r="K13" s="5">
        <f t="shared" si="0"/>
        <v>169593600</v>
      </c>
      <c r="L13" s="3" t="s">
        <v>27</v>
      </c>
      <c r="M13" s="6" t="s">
        <v>43</v>
      </c>
      <c r="N13" s="6"/>
      <c r="O13" s="6"/>
      <c r="P13" s="6"/>
      <c r="Q13" s="7"/>
      <c r="R13" s="6">
        <v>882817393</v>
      </c>
      <c r="S13" s="6">
        <v>882866993</v>
      </c>
      <c r="T13" s="7">
        <v>46017</v>
      </c>
      <c r="U13" s="3" t="str">
        <f t="shared" si="1"/>
        <v>dd/12</v>
      </c>
      <c r="V13" s="8" t="str">
        <f t="shared" si="2"/>
        <v>1-12</v>
      </c>
      <c r="Y13" s="9"/>
      <c r="Z13" s="9"/>
    </row>
    <row r="14" spans="1:26" ht="15.75" customHeight="1" x14ac:dyDescent="0.3">
      <c r="A14" s="3">
        <v>13</v>
      </c>
      <c r="B14" s="3">
        <v>1</v>
      </c>
      <c r="C14" s="3">
        <v>1</v>
      </c>
      <c r="D14" s="3">
        <v>4</v>
      </c>
      <c r="E14" s="3">
        <v>13</v>
      </c>
      <c r="F14" s="3" t="s">
        <v>26</v>
      </c>
      <c r="G14" s="4">
        <v>48.15</v>
      </c>
      <c r="H14" s="5">
        <f t="array" ref="H14">INDEX(Settings!$B$3:$B$7, D14)</f>
        <v>7000000</v>
      </c>
      <c r="I14" s="5">
        <f t="shared" si="3"/>
        <v>337050000</v>
      </c>
      <c r="J14" s="5">
        <f>I14*Settings!$B$2</f>
        <v>67410000</v>
      </c>
      <c r="K14" s="5">
        <f t="shared" si="0"/>
        <v>269640000</v>
      </c>
      <c r="L14" s="3" t="s">
        <v>27</v>
      </c>
      <c r="M14" s="6" t="s">
        <v>44</v>
      </c>
      <c r="N14" s="6"/>
      <c r="O14" s="6"/>
      <c r="P14" s="6"/>
      <c r="Q14" s="7"/>
      <c r="R14" s="6">
        <v>903299092</v>
      </c>
      <c r="S14" s="6">
        <v>916345260</v>
      </c>
      <c r="T14" s="7">
        <v>45943</v>
      </c>
      <c r="U14" s="3" t="str">
        <f t="shared" si="1"/>
        <v>dd/13</v>
      </c>
      <c r="V14" s="8" t="str">
        <f t="shared" si="2"/>
        <v>1-13</v>
      </c>
      <c r="Y14" s="9"/>
      <c r="Z14" s="9"/>
    </row>
    <row r="15" spans="1:26" ht="15.75" customHeight="1" x14ac:dyDescent="0.3">
      <c r="A15" s="3">
        <v>14</v>
      </c>
      <c r="B15" s="3">
        <v>1</v>
      </c>
      <c r="C15" s="3">
        <v>1</v>
      </c>
      <c r="D15" s="3">
        <v>4</v>
      </c>
      <c r="E15" s="3">
        <v>14</v>
      </c>
      <c r="F15" s="3" t="s">
        <v>29</v>
      </c>
      <c r="G15" s="4">
        <v>28.52</v>
      </c>
      <c r="H15" s="5">
        <f t="array" ref="H15">INDEX(Settings!$B$3:$B$7, D15)</f>
        <v>7000000</v>
      </c>
      <c r="I15" s="5">
        <f t="shared" si="3"/>
        <v>199640000</v>
      </c>
      <c r="J15" s="5">
        <f>I15*Settings!$B$2</f>
        <v>39928000</v>
      </c>
      <c r="K15" s="5">
        <f t="shared" si="0"/>
        <v>159712000</v>
      </c>
      <c r="L15" s="3" t="s">
        <v>27</v>
      </c>
      <c r="M15" s="6" t="s">
        <v>45</v>
      </c>
      <c r="N15" s="6"/>
      <c r="O15" s="6"/>
      <c r="P15" s="6"/>
      <c r="Q15" s="7"/>
      <c r="R15" s="6">
        <v>973810204</v>
      </c>
      <c r="S15" s="6"/>
      <c r="T15" s="7">
        <v>45943</v>
      </c>
      <c r="U15" s="3" t="str">
        <f t="shared" si="1"/>
        <v>dd/14</v>
      </c>
      <c r="V15" s="8" t="str">
        <f t="shared" si="2"/>
        <v>1-14</v>
      </c>
      <c r="Y15" s="9"/>
      <c r="Z15" s="9"/>
    </row>
    <row r="16" spans="1:26" ht="15.75" customHeight="1" x14ac:dyDescent="0.3">
      <c r="A16" s="3">
        <v>15</v>
      </c>
      <c r="B16" s="3">
        <v>1</v>
      </c>
      <c r="C16" s="3">
        <v>1</v>
      </c>
      <c r="D16" s="3">
        <v>4</v>
      </c>
      <c r="E16" s="3">
        <v>15</v>
      </c>
      <c r="F16" s="3" t="s">
        <v>29</v>
      </c>
      <c r="G16" s="4">
        <v>31.31</v>
      </c>
      <c r="H16" s="5">
        <f t="array" ref="H16">INDEX(Settings!$B$3:$B$7, D16)</f>
        <v>7000000</v>
      </c>
      <c r="I16" s="5">
        <f t="shared" si="3"/>
        <v>219170000</v>
      </c>
      <c r="J16" s="5">
        <f>I16*Settings!$B$2</f>
        <v>43834000</v>
      </c>
      <c r="K16" s="5">
        <f t="shared" si="0"/>
        <v>175336000</v>
      </c>
      <c r="L16" s="3" t="s">
        <v>27</v>
      </c>
      <c r="M16" s="6" t="s">
        <v>46</v>
      </c>
      <c r="N16" s="6"/>
      <c r="O16" s="6"/>
      <c r="P16" s="6"/>
      <c r="Q16" s="7"/>
      <c r="R16" s="6">
        <v>916374850</v>
      </c>
      <c r="S16" s="6"/>
      <c r="T16" s="7">
        <v>45957</v>
      </c>
      <c r="U16" s="3" t="str">
        <f t="shared" si="1"/>
        <v>dd/15</v>
      </c>
      <c r="V16" s="8" t="str">
        <f t="shared" si="2"/>
        <v>1-15</v>
      </c>
      <c r="Y16" s="9"/>
      <c r="Z16" s="9"/>
    </row>
    <row r="17" spans="1:26" ht="15.75" customHeight="1" x14ac:dyDescent="0.3">
      <c r="A17" s="3">
        <v>16</v>
      </c>
      <c r="B17" s="3">
        <v>1</v>
      </c>
      <c r="C17" s="3">
        <v>1</v>
      </c>
      <c r="D17" s="3">
        <v>4</v>
      </c>
      <c r="E17" s="3">
        <v>16</v>
      </c>
      <c r="F17" s="3" t="s">
        <v>29</v>
      </c>
      <c r="G17" s="4">
        <v>29.04</v>
      </c>
      <c r="H17" s="5">
        <f t="array" ref="H17">INDEX(Settings!$B$3:$B$7, D17)</f>
        <v>7000000</v>
      </c>
      <c r="I17" s="5">
        <f t="shared" si="3"/>
        <v>203280000</v>
      </c>
      <c r="J17" s="5">
        <f>I17*Settings!$B$2</f>
        <v>40656000</v>
      </c>
      <c r="K17" s="5">
        <f t="shared" si="0"/>
        <v>162624000</v>
      </c>
      <c r="L17" s="3" t="s">
        <v>27</v>
      </c>
      <c r="M17" s="6" t="s">
        <v>47</v>
      </c>
      <c r="N17" s="6"/>
      <c r="O17" s="6"/>
      <c r="P17" s="6"/>
      <c r="Q17" s="7"/>
      <c r="R17" s="6">
        <v>880347722</v>
      </c>
      <c r="S17" s="6"/>
      <c r="T17" s="7">
        <v>45974</v>
      </c>
      <c r="U17" s="3" t="str">
        <f t="shared" si="1"/>
        <v>dd/16</v>
      </c>
      <c r="V17" s="8" t="str">
        <f t="shared" si="2"/>
        <v>1-16</v>
      </c>
      <c r="Y17" s="9"/>
      <c r="Z17" s="9"/>
    </row>
    <row r="18" spans="1:26" ht="15.75" customHeight="1" x14ac:dyDescent="0.3">
      <c r="A18" s="3">
        <v>17</v>
      </c>
      <c r="B18" s="3">
        <v>1</v>
      </c>
      <c r="C18" s="3">
        <v>1</v>
      </c>
      <c r="D18" s="3">
        <v>5</v>
      </c>
      <c r="E18" s="3">
        <v>17</v>
      </c>
      <c r="F18" s="3" t="s">
        <v>26</v>
      </c>
      <c r="G18" s="4">
        <v>48.15</v>
      </c>
      <c r="H18" s="5">
        <v>6700000</v>
      </c>
      <c r="I18" s="5">
        <v>322605000</v>
      </c>
      <c r="J18" s="5">
        <v>64521000</v>
      </c>
      <c r="K18" s="5">
        <v>258084000</v>
      </c>
      <c r="L18" s="3" t="s">
        <v>27</v>
      </c>
      <c r="M18" s="6" t="s">
        <v>48</v>
      </c>
      <c r="N18" s="6" t="s">
        <v>49</v>
      </c>
      <c r="O18" s="6" t="s">
        <v>49</v>
      </c>
      <c r="P18" s="6" t="s">
        <v>49</v>
      </c>
      <c r="Q18" s="3" t="s">
        <v>49</v>
      </c>
      <c r="R18" s="6">
        <v>770483237</v>
      </c>
      <c r="S18" s="6" t="s">
        <v>49</v>
      </c>
      <c r="T18" s="7">
        <v>45954</v>
      </c>
      <c r="U18" s="3" t="s">
        <v>50</v>
      </c>
      <c r="V18" s="8" t="s">
        <v>51</v>
      </c>
      <c r="W18" s="10" t="s">
        <v>52</v>
      </c>
      <c r="Y18" s="9"/>
      <c r="Z18" s="9" t="s">
        <v>53</v>
      </c>
    </row>
    <row r="19" spans="1:26" ht="15.75" customHeight="1" x14ac:dyDescent="0.3">
      <c r="A19" s="3">
        <v>18</v>
      </c>
      <c r="B19" s="3">
        <v>1</v>
      </c>
      <c r="C19" s="3">
        <v>1</v>
      </c>
      <c r="D19" s="3">
        <v>5</v>
      </c>
      <c r="E19" s="3">
        <v>18</v>
      </c>
      <c r="F19" s="3" t="s">
        <v>29</v>
      </c>
      <c r="G19" s="4">
        <v>28.52</v>
      </c>
      <c r="H19" s="5">
        <f t="array" ref="H19">INDEX(Settings!$B$3:$B$7, D19)</f>
        <v>6700000</v>
      </c>
      <c r="I19" s="5">
        <f t="shared" ref="I19:I61" si="4">G19*H19</f>
        <v>191084000</v>
      </c>
      <c r="J19" s="5">
        <f>I19*Settings!$B$2</f>
        <v>38216800</v>
      </c>
      <c r="K19" s="5">
        <f t="shared" ref="K19:K61" si="5">I19-J19</f>
        <v>152867200</v>
      </c>
      <c r="L19" s="3" t="s">
        <v>27</v>
      </c>
      <c r="M19" s="6" t="s">
        <v>54</v>
      </c>
      <c r="N19" s="6"/>
      <c r="O19" s="6"/>
      <c r="P19" s="6"/>
      <c r="Q19" s="7"/>
      <c r="R19" s="6">
        <v>880820690</v>
      </c>
      <c r="S19" s="6"/>
      <c r="T19" s="7">
        <v>45952</v>
      </c>
      <c r="U19" s="3" t="str">
        <f t="shared" ref="U19:U61" si="6">TEXT(T19,"dd")&amp;"/"&amp;TEXT(E19,"00")</f>
        <v>dd/18</v>
      </c>
      <c r="V19" s="8" t="str">
        <f t="shared" ref="V19:V61" si="7">C19&amp;"-"&amp;E19</f>
        <v>1-18</v>
      </c>
      <c r="Y19" s="9"/>
      <c r="Z19" s="9"/>
    </row>
    <row r="20" spans="1:26" ht="15.75" customHeight="1" x14ac:dyDescent="0.3">
      <c r="A20" s="3">
        <v>19</v>
      </c>
      <c r="B20" s="3">
        <v>1</v>
      </c>
      <c r="C20" s="3">
        <v>1</v>
      </c>
      <c r="D20" s="3">
        <v>5</v>
      </c>
      <c r="E20" s="3">
        <v>19</v>
      </c>
      <c r="F20" s="3" t="s">
        <v>29</v>
      </c>
      <c r="G20" s="4">
        <v>31.31</v>
      </c>
      <c r="H20" s="5">
        <f t="array" ref="H20">INDEX(Settings!$B$3:$B$7, D20)</f>
        <v>6700000</v>
      </c>
      <c r="I20" s="5">
        <f t="shared" si="4"/>
        <v>209777000</v>
      </c>
      <c r="J20" s="5">
        <f>I20*Settings!$B$2</f>
        <v>41955400</v>
      </c>
      <c r="K20" s="5">
        <f t="shared" si="5"/>
        <v>167821600</v>
      </c>
      <c r="L20" s="3" t="s">
        <v>27</v>
      </c>
      <c r="M20" s="6" t="s">
        <v>55</v>
      </c>
      <c r="N20" s="6"/>
      <c r="O20" s="6"/>
      <c r="P20" s="6"/>
      <c r="Q20" s="7"/>
      <c r="R20" s="6">
        <v>504073155</v>
      </c>
      <c r="S20" s="6"/>
      <c r="T20" s="7">
        <v>45994</v>
      </c>
      <c r="U20" s="3" t="str">
        <f t="shared" si="6"/>
        <v>dd/19</v>
      </c>
      <c r="V20" s="8" t="str">
        <f t="shared" si="7"/>
        <v>1-19</v>
      </c>
      <c r="Y20" s="9"/>
      <c r="Z20" s="9"/>
    </row>
    <row r="21" spans="1:26" ht="15.75" customHeight="1" x14ac:dyDescent="0.3">
      <c r="A21" s="3">
        <v>20</v>
      </c>
      <c r="B21" s="3">
        <v>1</v>
      </c>
      <c r="C21" s="3">
        <v>1</v>
      </c>
      <c r="D21" s="3">
        <v>5</v>
      </c>
      <c r="E21" s="3">
        <v>20</v>
      </c>
      <c r="F21" s="3" t="s">
        <v>29</v>
      </c>
      <c r="G21" s="4">
        <v>29.04</v>
      </c>
      <c r="H21" s="5">
        <f t="array" ref="H21">INDEX(Settings!$B$3:$B$7, D21)</f>
        <v>6700000</v>
      </c>
      <c r="I21" s="5">
        <f t="shared" si="4"/>
        <v>194568000</v>
      </c>
      <c r="J21" s="5">
        <f>I21*Settings!$B$2</f>
        <v>38913600</v>
      </c>
      <c r="K21" s="5">
        <f t="shared" si="5"/>
        <v>155654400</v>
      </c>
      <c r="L21" s="3" t="s">
        <v>27</v>
      </c>
      <c r="M21" s="6" t="s">
        <v>56</v>
      </c>
      <c r="N21" s="6"/>
      <c r="O21" s="6"/>
      <c r="P21" s="6"/>
      <c r="Q21" s="7"/>
      <c r="R21" s="6">
        <v>882800012</v>
      </c>
      <c r="S21" s="6"/>
      <c r="T21" s="7">
        <v>45951</v>
      </c>
      <c r="U21" s="3" t="str">
        <f t="shared" si="6"/>
        <v>dd/20</v>
      </c>
      <c r="V21" s="8" t="str">
        <f t="shared" si="7"/>
        <v>1-20</v>
      </c>
      <c r="Y21" s="9"/>
      <c r="Z21" s="9"/>
    </row>
    <row r="22" spans="1:26" ht="15.75" customHeight="1" x14ac:dyDescent="0.3">
      <c r="A22" s="3">
        <v>21</v>
      </c>
      <c r="B22" s="3">
        <v>1</v>
      </c>
      <c r="C22" s="3">
        <v>2</v>
      </c>
      <c r="D22" s="3">
        <v>1</v>
      </c>
      <c r="E22" s="3">
        <v>21</v>
      </c>
      <c r="F22" s="3" t="s">
        <v>26</v>
      </c>
      <c r="G22" s="4">
        <v>48.15</v>
      </c>
      <c r="H22" s="5">
        <f t="array" ref="H22">INDEX(Settings!$B$3:$B$7, D22)</f>
        <v>7700000</v>
      </c>
      <c r="I22" s="5">
        <f t="shared" si="4"/>
        <v>370755000</v>
      </c>
      <c r="J22" s="5">
        <f>I22*Settings!$B$2</f>
        <v>74151000</v>
      </c>
      <c r="K22" s="5">
        <f t="shared" si="5"/>
        <v>296604000</v>
      </c>
      <c r="L22" s="3" t="s">
        <v>27</v>
      </c>
      <c r="M22" s="6" t="s">
        <v>57</v>
      </c>
      <c r="N22" s="6"/>
      <c r="O22" s="6"/>
      <c r="P22" s="6"/>
      <c r="Q22" s="7"/>
      <c r="R22" s="6">
        <v>943361708</v>
      </c>
      <c r="S22" s="6"/>
      <c r="T22" s="7">
        <v>46048</v>
      </c>
      <c r="U22" s="3" t="str">
        <f t="shared" si="6"/>
        <v>dd/21</v>
      </c>
      <c r="V22" s="8" t="str">
        <f t="shared" si="7"/>
        <v>2-21</v>
      </c>
      <c r="Y22" s="9"/>
      <c r="Z22" s="9"/>
    </row>
    <row r="23" spans="1:26" ht="15.75" customHeight="1" x14ac:dyDescent="0.3">
      <c r="A23" s="3">
        <v>22</v>
      </c>
      <c r="B23" s="3">
        <v>1</v>
      </c>
      <c r="C23" s="3">
        <v>2</v>
      </c>
      <c r="D23" s="3">
        <v>1</v>
      </c>
      <c r="E23" s="3">
        <v>22</v>
      </c>
      <c r="F23" s="3" t="s">
        <v>29</v>
      </c>
      <c r="G23" s="4">
        <v>28.52</v>
      </c>
      <c r="H23" s="5">
        <f t="array" ref="H23">INDEX(Settings!$B$3:$B$7, D23)</f>
        <v>7700000</v>
      </c>
      <c r="I23" s="5">
        <f t="shared" si="4"/>
        <v>219604000</v>
      </c>
      <c r="J23" s="5">
        <f>I23*Settings!$B$2</f>
        <v>43920800</v>
      </c>
      <c r="K23" s="5">
        <f t="shared" si="5"/>
        <v>175683200</v>
      </c>
      <c r="L23" s="3" t="s">
        <v>27</v>
      </c>
      <c r="M23" s="6" t="s">
        <v>58</v>
      </c>
      <c r="N23" s="6"/>
      <c r="O23" s="6"/>
      <c r="P23" s="6"/>
      <c r="Q23" s="7"/>
      <c r="R23" s="6">
        <v>886182000</v>
      </c>
      <c r="S23" s="6"/>
      <c r="T23" s="7">
        <v>46048</v>
      </c>
      <c r="U23" s="3" t="str">
        <f t="shared" si="6"/>
        <v>dd/22</v>
      </c>
      <c r="V23" s="8" t="str">
        <f t="shared" si="7"/>
        <v>2-22</v>
      </c>
      <c r="W23" s="10" t="s">
        <v>42</v>
      </c>
      <c r="Y23" s="9"/>
      <c r="Z23" s="9"/>
    </row>
    <row r="24" spans="1:26" ht="15.75" customHeight="1" x14ac:dyDescent="0.3">
      <c r="A24" s="3">
        <v>23</v>
      </c>
      <c r="B24" s="3">
        <v>1</v>
      </c>
      <c r="C24" s="3">
        <v>2</v>
      </c>
      <c r="D24" s="3">
        <v>1</v>
      </c>
      <c r="E24" s="3">
        <v>23</v>
      </c>
      <c r="F24" s="3" t="s">
        <v>29</v>
      </c>
      <c r="G24" s="4">
        <v>31.31</v>
      </c>
      <c r="H24" s="5">
        <f t="array" ref="H24">INDEX(Settings!$B$3:$B$7, D24)</f>
        <v>7700000</v>
      </c>
      <c r="I24" s="5">
        <f t="shared" si="4"/>
        <v>241087000</v>
      </c>
      <c r="J24" s="5">
        <f>I24*Settings!$B$2</f>
        <v>48217400</v>
      </c>
      <c r="K24" s="5">
        <f t="shared" si="5"/>
        <v>192869600</v>
      </c>
      <c r="L24" s="3" t="s">
        <v>27</v>
      </c>
      <c r="M24" s="6" t="s">
        <v>59</v>
      </c>
      <c r="N24" s="6"/>
      <c r="O24" s="6"/>
      <c r="P24" s="6"/>
      <c r="Q24" s="7"/>
      <c r="R24" s="6">
        <v>9975896061</v>
      </c>
      <c r="S24" s="6"/>
      <c r="T24" s="7">
        <v>46048</v>
      </c>
      <c r="U24" s="3" t="str">
        <f t="shared" si="6"/>
        <v>dd/23</v>
      </c>
      <c r="V24" s="8" t="str">
        <f t="shared" si="7"/>
        <v>2-23</v>
      </c>
      <c r="W24" s="10" t="s">
        <v>42</v>
      </c>
      <c r="Y24" s="9"/>
      <c r="Z24" s="9"/>
    </row>
    <row r="25" spans="1:26" ht="15.75" customHeight="1" x14ac:dyDescent="0.3">
      <c r="A25" s="3">
        <v>24</v>
      </c>
      <c r="B25" s="3">
        <v>1</v>
      </c>
      <c r="C25" s="3">
        <v>2</v>
      </c>
      <c r="D25" s="3">
        <v>1</v>
      </c>
      <c r="E25" s="3">
        <v>24</v>
      </c>
      <c r="F25" s="3" t="s">
        <v>29</v>
      </c>
      <c r="G25" s="4">
        <v>29.04</v>
      </c>
      <c r="H25" s="5">
        <f t="array" ref="H25">INDEX(Settings!$B$3:$B$7, D25)</f>
        <v>7700000</v>
      </c>
      <c r="I25" s="5">
        <f t="shared" si="4"/>
        <v>223608000</v>
      </c>
      <c r="J25" s="5">
        <f>I25*Settings!$B$2</f>
        <v>44721600</v>
      </c>
      <c r="K25" s="5">
        <f t="shared" si="5"/>
        <v>178886400</v>
      </c>
      <c r="L25" s="3" t="s">
        <v>27</v>
      </c>
      <c r="M25" s="6" t="s">
        <v>60</v>
      </c>
      <c r="N25" s="6"/>
      <c r="O25" s="6"/>
      <c r="P25" s="6"/>
      <c r="Q25" s="7"/>
      <c r="R25" s="6">
        <v>889242026</v>
      </c>
      <c r="S25" s="6"/>
      <c r="T25" s="7">
        <v>46048</v>
      </c>
      <c r="U25" s="3" t="str">
        <f t="shared" si="6"/>
        <v>dd/24</v>
      </c>
      <c r="V25" s="8" t="str">
        <f t="shared" si="7"/>
        <v>2-24</v>
      </c>
      <c r="W25" s="10" t="s">
        <v>42</v>
      </c>
      <c r="Y25" s="9"/>
      <c r="Z25" s="9"/>
    </row>
    <row r="26" spans="1:26" ht="15.75" customHeight="1" x14ac:dyDescent="0.3">
      <c r="A26" s="3">
        <v>25</v>
      </c>
      <c r="B26" s="3">
        <v>1</v>
      </c>
      <c r="C26" s="3">
        <v>2</v>
      </c>
      <c r="D26" s="3">
        <v>2</v>
      </c>
      <c r="E26" s="3">
        <v>25</v>
      </c>
      <c r="F26" s="3" t="s">
        <v>26</v>
      </c>
      <c r="G26" s="4">
        <v>48.15</v>
      </c>
      <c r="H26" s="5">
        <f t="array" ref="H26">INDEX(Settings!$B$3:$B$7, D26)</f>
        <v>7800000</v>
      </c>
      <c r="I26" s="5">
        <f t="shared" si="4"/>
        <v>375570000</v>
      </c>
      <c r="J26" s="5">
        <f>I26*Settings!$B$2</f>
        <v>75114000</v>
      </c>
      <c r="K26" s="5">
        <f t="shared" si="5"/>
        <v>300456000</v>
      </c>
      <c r="L26" s="3" t="s">
        <v>27</v>
      </c>
      <c r="M26" s="6" t="s">
        <v>61</v>
      </c>
      <c r="N26" s="6"/>
      <c r="O26" s="6"/>
      <c r="P26" s="6"/>
      <c r="Q26" s="7"/>
      <c r="R26" s="6">
        <v>974777786</v>
      </c>
      <c r="S26" s="6">
        <v>990648728</v>
      </c>
      <c r="T26" s="7">
        <v>46008</v>
      </c>
      <c r="U26" s="3" t="str">
        <f t="shared" si="6"/>
        <v>dd/25</v>
      </c>
      <c r="V26" s="8" t="str">
        <f t="shared" si="7"/>
        <v>2-25</v>
      </c>
      <c r="W26" s="10" t="s">
        <v>38</v>
      </c>
      <c r="Y26" s="9"/>
      <c r="Z26" s="9"/>
    </row>
    <row r="27" spans="1:26" ht="15.75" customHeight="1" x14ac:dyDescent="0.3">
      <c r="A27" s="3">
        <v>26</v>
      </c>
      <c r="B27" s="3">
        <v>1</v>
      </c>
      <c r="C27" s="3">
        <v>2</v>
      </c>
      <c r="D27" s="3">
        <v>2</v>
      </c>
      <c r="E27" s="3">
        <v>26</v>
      </c>
      <c r="F27" s="3" t="s">
        <v>29</v>
      </c>
      <c r="G27" s="4">
        <v>28.52</v>
      </c>
      <c r="H27" s="5">
        <f t="array" ref="H27">INDEX(Settings!$B$3:$B$7, D27)</f>
        <v>7800000</v>
      </c>
      <c r="I27" s="5">
        <f t="shared" si="4"/>
        <v>222456000</v>
      </c>
      <c r="J27" s="5">
        <f>I27*Settings!$B$2</f>
        <v>44491200</v>
      </c>
      <c r="K27" s="5">
        <f t="shared" si="5"/>
        <v>177964800</v>
      </c>
      <c r="L27" s="3" t="s">
        <v>27</v>
      </c>
      <c r="M27" s="6" t="s">
        <v>62</v>
      </c>
      <c r="N27" s="6"/>
      <c r="O27" s="6"/>
      <c r="P27" s="6"/>
      <c r="Q27" s="7"/>
      <c r="R27" s="6">
        <v>906661514</v>
      </c>
      <c r="S27" s="6">
        <v>900140384</v>
      </c>
      <c r="T27" s="7">
        <v>45924</v>
      </c>
      <c r="U27" s="3" t="str">
        <f t="shared" si="6"/>
        <v>dd/26</v>
      </c>
      <c r="V27" s="8" t="str">
        <f t="shared" si="7"/>
        <v>2-26</v>
      </c>
      <c r="W27" s="10" t="s">
        <v>63</v>
      </c>
      <c r="Y27" s="9"/>
      <c r="Z27" s="9"/>
    </row>
    <row r="28" spans="1:26" ht="15.75" customHeight="1" x14ac:dyDescent="0.3">
      <c r="A28" s="3">
        <v>27</v>
      </c>
      <c r="B28" s="3">
        <v>1</v>
      </c>
      <c r="C28" s="3">
        <v>2</v>
      </c>
      <c r="D28" s="3">
        <v>2</v>
      </c>
      <c r="E28" s="3">
        <v>27</v>
      </c>
      <c r="F28" s="3" t="s">
        <v>29</v>
      </c>
      <c r="G28" s="4">
        <v>31.31</v>
      </c>
      <c r="H28" s="5">
        <f t="array" ref="H28">INDEX(Settings!$B$3:$B$7, D28)</f>
        <v>7800000</v>
      </c>
      <c r="I28" s="5">
        <f t="shared" si="4"/>
        <v>244218000</v>
      </c>
      <c r="J28" s="5">
        <f>I28*Settings!$B$2</f>
        <v>48843600</v>
      </c>
      <c r="K28" s="5">
        <f t="shared" si="5"/>
        <v>195374400</v>
      </c>
      <c r="L28" s="3" t="s">
        <v>27</v>
      </c>
      <c r="M28" s="6" t="s">
        <v>64</v>
      </c>
      <c r="N28" s="6"/>
      <c r="O28" s="6"/>
      <c r="P28" s="6"/>
      <c r="Q28" s="7"/>
      <c r="R28" s="6">
        <v>996294189</v>
      </c>
      <c r="S28" s="6"/>
      <c r="T28" s="7">
        <v>46034</v>
      </c>
      <c r="U28" s="3" t="str">
        <f t="shared" si="6"/>
        <v>dd/27</v>
      </c>
      <c r="V28" s="8" t="str">
        <f t="shared" si="7"/>
        <v>2-27</v>
      </c>
      <c r="W28" s="10" t="s">
        <v>63</v>
      </c>
      <c r="Y28" s="9"/>
      <c r="Z28" s="9"/>
    </row>
    <row r="29" spans="1:26" ht="15.75" customHeight="1" x14ac:dyDescent="0.3">
      <c r="A29" s="3">
        <v>28</v>
      </c>
      <c r="B29" s="3">
        <v>1</v>
      </c>
      <c r="C29" s="3">
        <v>2</v>
      </c>
      <c r="D29" s="3">
        <v>2</v>
      </c>
      <c r="E29" s="3">
        <v>28</v>
      </c>
      <c r="F29" s="3" t="s">
        <v>29</v>
      </c>
      <c r="G29" s="4">
        <v>29.04</v>
      </c>
      <c r="H29" s="5">
        <f t="array" ref="H29">INDEX(Settings!$B$3:$B$7, D29)</f>
        <v>7800000</v>
      </c>
      <c r="I29" s="5">
        <f t="shared" si="4"/>
        <v>226512000</v>
      </c>
      <c r="J29" s="5">
        <f>I29*Settings!$B$2</f>
        <v>45302400</v>
      </c>
      <c r="K29" s="5">
        <f t="shared" si="5"/>
        <v>181209600</v>
      </c>
      <c r="L29" s="3" t="s">
        <v>27</v>
      </c>
      <c r="M29" s="6" t="s">
        <v>65</v>
      </c>
      <c r="N29" s="6"/>
      <c r="O29" s="6"/>
      <c r="P29" s="6"/>
      <c r="Q29" s="7"/>
      <c r="R29" s="6">
        <v>996241899</v>
      </c>
      <c r="S29" s="6"/>
      <c r="T29" s="7">
        <v>46034</v>
      </c>
      <c r="U29" s="3" t="str">
        <f t="shared" si="6"/>
        <v>dd/28</v>
      </c>
      <c r="V29" s="8" t="str">
        <f t="shared" si="7"/>
        <v>2-28</v>
      </c>
      <c r="W29" s="10" t="s">
        <v>38</v>
      </c>
      <c r="Y29" s="9"/>
      <c r="Z29" s="9"/>
    </row>
    <row r="30" spans="1:26" ht="15.75" customHeight="1" x14ac:dyDescent="0.3">
      <c r="A30" s="3">
        <v>29</v>
      </c>
      <c r="B30" s="3">
        <v>1</v>
      </c>
      <c r="C30" s="3">
        <v>2</v>
      </c>
      <c r="D30" s="3">
        <v>3</v>
      </c>
      <c r="E30" s="3">
        <v>29</v>
      </c>
      <c r="F30" s="3" t="s">
        <v>26</v>
      </c>
      <c r="G30" s="4">
        <v>48.15</v>
      </c>
      <c r="H30" s="5">
        <f t="array" ref="H30">INDEX(Settings!$B$3:$B$7, D30)</f>
        <v>7300000</v>
      </c>
      <c r="I30" s="5">
        <f t="shared" si="4"/>
        <v>351495000</v>
      </c>
      <c r="J30" s="5">
        <f>I30*Settings!$B$2</f>
        <v>70299000</v>
      </c>
      <c r="K30" s="5">
        <f t="shared" si="5"/>
        <v>281196000</v>
      </c>
      <c r="L30" s="3" t="s">
        <v>27</v>
      </c>
      <c r="M30" s="6" t="s">
        <v>66</v>
      </c>
      <c r="N30" s="6"/>
      <c r="O30" s="6"/>
      <c r="P30" s="6"/>
      <c r="Q30" s="7"/>
      <c r="R30" s="6">
        <v>888017977</v>
      </c>
      <c r="S30" s="6">
        <v>9971717977</v>
      </c>
      <c r="T30" s="7">
        <v>45924</v>
      </c>
      <c r="U30" s="3" t="str">
        <f t="shared" si="6"/>
        <v>dd/29</v>
      </c>
      <c r="V30" s="8" t="str">
        <f t="shared" si="7"/>
        <v>2-29</v>
      </c>
      <c r="W30" s="10" t="s">
        <v>63</v>
      </c>
      <c r="Y30" s="9"/>
      <c r="Z30" s="9"/>
    </row>
    <row r="31" spans="1:26" ht="14.4" x14ac:dyDescent="0.3">
      <c r="A31" s="3">
        <v>30</v>
      </c>
      <c r="B31" s="3">
        <v>1</v>
      </c>
      <c r="C31" s="3">
        <v>2</v>
      </c>
      <c r="D31" s="3">
        <v>3</v>
      </c>
      <c r="E31" s="3">
        <v>30</v>
      </c>
      <c r="F31" s="3" t="s">
        <v>29</v>
      </c>
      <c r="G31" s="4">
        <v>28.52</v>
      </c>
      <c r="H31" s="5">
        <f t="array" ref="H31">INDEX(Settings!$B$3:$B$7, D31)</f>
        <v>7300000</v>
      </c>
      <c r="I31" s="5">
        <f t="shared" si="4"/>
        <v>208196000</v>
      </c>
      <c r="J31" s="5">
        <f>I31*Settings!$B$2</f>
        <v>41639200</v>
      </c>
      <c r="K31" s="5">
        <f t="shared" si="5"/>
        <v>166556800</v>
      </c>
      <c r="L31" s="3" t="s">
        <v>27</v>
      </c>
      <c r="M31" s="6" t="s">
        <v>67</v>
      </c>
      <c r="N31" s="6"/>
      <c r="O31" s="6"/>
      <c r="P31" s="6"/>
      <c r="Q31" s="7"/>
      <c r="R31" s="6">
        <v>992999001</v>
      </c>
      <c r="S31" s="6">
        <v>997239001</v>
      </c>
      <c r="T31" s="7">
        <v>46000</v>
      </c>
      <c r="U31" s="3" t="str">
        <f t="shared" si="6"/>
        <v>dd/30</v>
      </c>
      <c r="V31" s="8" t="str">
        <f t="shared" si="7"/>
        <v>2-30</v>
      </c>
      <c r="Y31" s="9"/>
      <c r="Z31" s="9"/>
    </row>
    <row r="32" spans="1:26" ht="14.4" x14ac:dyDescent="0.3">
      <c r="A32" s="3">
        <v>31</v>
      </c>
      <c r="B32" s="3">
        <v>1</v>
      </c>
      <c r="C32" s="3">
        <v>2</v>
      </c>
      <c r="D32" s="3">
        <v>3</v>
      </c>
      <c r="E32" s="3">
        <v>31</v>
      </c>
      <c r="F32" s="3" t="s">
        <v>29</v>
      </c>
      <c r="G32" s="4">
        <v>31.31</v>
      </c>
      <c r="H32" s="5">
        <f t="array" ref="H32">INDEX(Settings!$B$3:$B$7, D32)</f>
        <v>7300000</v>
      </c>
      <c r="I32" s="5">
        <f t="shared" si="4"/>
        <v>228563000</v>
      </c>
      <c r="J32" s="5">
        <f>I32*Settings!$B$2</f>
        <v>45712600</v>
      </c>
      <c r="K32" s="5">
        <f t="shared" si="5"/>
        <v>182850400</v>
      </c>
      <c r="L32" s="3" t="s">
        <v>27</v>
      </c>
      <c r="M32" s="6" t="s">
        <v>68</v>
      </c>
      <c r="N32" s="6"/>
      <c r="O32" s="6"/>
      <c r="P32" s="6"/>
      <c r="Q32" s="7"/>
      <c r="R32" s="6">
        <v>976720483</v>
      </c>
      <c r="S32" s="6"/>
      <c r="T32" s="7">
        <v>45929</v>
      </c>
      <c r="U32" s="3" t="str">
        <f t="shared" si="6"/>
        <v>dd/31</v>
      </c>
      <c r="V32" s="8" t="str">
        <f t="shared" si="7"/>
        <v>2-31</v>
      </c>
      <c r="Y32" s="9"/>
      <c r="Z32" s="9"/>
    </row>
    <row r="33" spans="1:26" ht="14.4" x14ac:dyDescent="0.3">
      <c r="A33" s="3">
        <v>32</v>
      </c>
      <c r="B33" s="3">
        <v>1</v>
      </c>
      <c r="C33" s="3">
        <v>2</v>
      </c>
      <c r="D33" s="3">
        <v>3</v>
      </c>
      <c r="E33" s="3">
        <v>32</v>
      </c>
      <c r="F33" s="3" t="s">
        <v>29</v>
      </c>
      <c r="G33" s="4">
        <v>29.04</v>
      </c>
      <c r="H33" s="5">
        <f t="array" ref="H33">INDEX(Settings!$B$3:$B$7, D33)</f>
        <v>7300000</v>
      </c>
      <c r="I33" s="5">
        <f t="shared" si="4"/>
        <v>211992000</v>
      </c>
      <c r="J33" s="5">
        <f>I33*Settings!$B$2</f>
        <v>42398400</v>
      </c>
      <c r="K33" s="5">
        <f t="shared" si="5"/>
        <v>169593600</v>
      </c>
      <c r="L33" s="3" t="s">
        <v>27</v>
      </c>
      <c r="M33" s="6" t="s">
        <v>69</v>
      </c>
      <c r="N33" s="6"/>
      <c r="O33" s="6"/>
      <c r="P33" s="6"/>
      <c r="Q33" s="7"/>
      <c r="R33" s="6">
        <v>970831948</v>
      </c>
      <c r="S33" s="6"/>
      <c r="T33" s="7">
        <v>46031</v>
      </c>
      <c r="U33" s="3" t="str">
        <f t="shared" si="6"/>
        <v>dd/32</v>
      </c>
      <c r="V33" s="8" t="str">
        <f t="shared" si="7"/>
        <v>2-32</v>
      </c>
      <c r="Y33" s="9"/>
      <c r="Z33" s="9"/>
    </row>
    <row r="34" spans="1:26" ht="14.4" x14ac:dyDescent="0.3">
      <c r="A34" s="3">
        <v>33</v>
      </c>
      <c r="B34" s="3">
        <v>1</v>
      </c>
      <c r="C34" s="3">
        <v>2</v>
      </c>
      <c r="D34" s="3">
        <v>4</v>
      </c>
      <c r="E34" s="3">
        <v>33</v>
      </c>
      <c r="F34" s="3" t="s">
        <v>26</v>
      </c>
      <c r="G34" s="4">
        <v>48.15</v>
      </c>
      <c r="H34" s="5">
        <f t="array" ref="H34">INDEX(Settings!$B$3:$B$7, D34)</f>
        <v>7000000</v>
      </c>
      <c r="I34" s="5">
        <f t="shared" si="4"/>
        <v>337050000</v>
      </c>
      <c r="J34" s="5">
        <f>I34*Settings!$B$2</f>
        <v>67410000</v>
      </c>
      <c r="K34" s="5">
        <f t="shared" si="5"/>
        <v>269640000</v>
      </c>
      <c r="L34" s="3" t="s">
        <v>27</v>
      </c>
      <c r="M34" s="6" t="s">
        <v>70</v>
      </c>
      <c r="N34" s="6"/>
      <c r="O34" s="6"/>
      <c r="P34" s="6"/>
      <c r="Q34" s="7"/>
      <c r="R34" s="6">
        <v>977233396</v>
      </c>
      <c r="S34" s="6"/>
      <c r="T34" s="7">
        <v>45944</v>
      </c>
      <c r="U34" s="3" t="str">
        <f t="shared" si="6"/>
        <v>dd/33</v>
      </c>
      <c r="V34" s="8" t="str">
        <f t="shared" si="7"/>
        <v>2-33</v>
      </c>
      <c r="Y34" s="9"/>
      <c r="Z34" s="9"/>
    </row>
    <row r="35" spans="1:26" ht="14.4" x14ac:dyDescent="0.3">
      <c r="A35" s="3">
        <v>34</v>
      </c>
      <c r="B35" s="3">
        <v>1</v>
      </c>
      <c r="C35" s="3">
        <v>2</v>
      </c>
      <c r="D35" s="3">
        <v>4</v>
      </c>
      <c r="E35" s="3">
        <v>34</v>
      </c>
      <c r="F35" s="3" t="s">
        <v>29</v>
      </c>
      <c r="G35" s="4">
        <v>28.52</v>
      </c>
      <c r="H35" s="5">
        <f t="array" ref="H35">INDEX(Settings!$B$3:$B$7, D35)</f>
        <v>7000000</v>
      </c>
      <c r="I35" s="5">
        <f t="shared" si="4"/>
        <v>199640000</v>
      </c>
      <c r="J35" s="5">
        <f>I35*Settings!$B$2</f>
        <v>39928000</v>
      </c>
      <c r="K35" s="5">
        <f t="shared" si="5"/>
        <v>159712000</v>
      </c>
      <c r="L35" s="3" t="s">
        <v>27</v>
      </c>
      <c r="M35" s="6" t="s">
        <v>71</v>
      </c>
      <c r="N35" s="6"/>
      <c r="O35" s="6"/>
      <c r="P35" s="6"/>
      <c r="Q35" s="7"/>
      <c r="R35" s="6">
        <v>906712577</v>
      </c>
      <c r="S35" s="6">
        <v>908821527</v>
      </c>
      <c r="T35" s="7">
        <v>45992</v>
      </c>
      <c r="U35" s="3" t="str">
        <f t="shared" si="6"/>
        <v>dd/34</v>
      </c>
      <c r="V35" s="8" t="str">
        <f t="shared" si="7"/>
        <v>2-34</v>
      </c>
      <c r="Y35" s="9"/>
      <c r="Z35" s="9"/>
    </row>
    <row r="36" spans="1:26" ht="14.4" x14ac:dyDescent="0.3">
      <c r="A36" s="3">
        <v>35</v>
      </c>
      <c r="B36" s="3">
        <v>1</v>
      </c>
      <c r="C36" s="3">
        <v>2</v>
      </c>
      <c r="D36" s="3">
        <v>4</v>
      </c>
      <c r="E36" s="3">
        <v>35</v>
      </c>
      <c r="F36" s="3" t="s">
        <v>29</v>
      </c>
      <c r="G36" s="4">
        <v>31.31</v>
      </c>
      <c r="H36" s="5">
        <f t="array" ref="H36">INDEX(Settings!$B$3:$B$7, D36)</f>
        <v>7000000</v>
      </c>
      <c r="I36" s="5">
        <f t="shared" si="4"/>
        <v>219170000</v>
      </c>
      <c r="J36" s="5">
        <f>I36*Settings!$B$2</f>
        <v>43834000</v>
      </c>
      <c r="K36" s="5">
        <f t="shared" si="5"/>
        <v>175336000</v>
      </c>
      <c r="L36" s="3" t="s">
        <v>27</v>
      </c>
      <c r="M36" s="6" t="s">
        <v>72</v>
      </c>
      <c r="N36" s="6"/>
      <c r="O36" s="6"/>
      <c r="P36" s="6"/>
      <c r="Q36" s="7"/>
      <c r="R36" s="6">
        <v>970662728</v>
      </c>
      <c r="S36" s="6"/>
      <c r="T36" s="7">
        <v>45926</v>
      </c>
      <c r="U36" s="3" t="str">
        <f t="shared" si="6"/>
        <v>dd/35</v>
      </c>
      <c r="V36" s="8" t="str">
        <f t="shared" si="7"/>
        <v>2-35</v>
      </c>
      <c r="Y36" s="9"/>
      <c r="Z36" s="9"/>
    </row>
    <row r="37" spans="1:26" ht="14.4" x14ac:dyDescent="0.3">
      <c r="A37" s="3">
        <v>36</v>
      </c>
      <c r="B37" s="3">
        <v>1</v>
      </c>
      <c r="C37" s="3">
        <v>2</v>
      </c>
      <c r="D37" s="3">
        <v>4</v>
      </c>
      <c r="E37" s="3">
        <v>36</v>
      </c>
      <c r="F37" s="3" t="s">
        <v>29</v>
      </c>
      <c r="G37" s="4">
        <v>29.04</v>
      </c>
      <c r="H37" s="5">
        <f t="array" ref="H37">INDEX(Settings!$B$3:$B$7, D37)</f>
        <v>7000000</v>
      </c>
      <c r="I37" s="5">
        <f t="shared" si="4"/>
        <v>203280000</v>
      </c>
      <c r="J37" s="5">
        <f>I37*Settings!$B$2</f>
        <v>40656000</v>
      </c>
      <c r="K37" s="5">
        <f t="shared" si="5"/>
        <v>162624000</v>
      </c>
      <c r="L37" s="3" t="s">
        <v>27</v>
      </c>
      <c r="M37" s="6" t="s">
        <v>73</v>
      </c>
      <c r="N37" s="6"/>
      <c r="O37" s="6"/>
      <c r="P37" s="6"/>
      <c r="Q37" s="7"/>
      <c r="R37" s="6">
        <v>976317730</v>
      </c>
      <c r="S37" s="6">
        <v>883836077</v>
      </c>
      <c r="T37" s="7">
        <v>45966</v>
      </c>
      <c r="U37" s="3" t="str">
        <f t="shared" si="6"/>
        <v>dd/36</v>
      </c>
      <c r="V37" s="8" t="str">
        <f t="shared" si="7"/>
        <v>2-36</v>
      </c>
      <c r="W37" s="10" t="s">
        <v>63</v>
      </c>
      <c r="Y37" s="9"/>
      <c r="Z37" s="9"/>
    </row>
    <row r="38" spans="1:26" ht="14.4" x14ac:dyDescent="0.3">
      <c r="A38" s="3">
        <v>37</v>
      </c>
      <c r="B38" s="3">
        <v>1</v>
      </c>
      <c r="C38" s="3">
        <v>2</v>
      </c>
      <c r="D38" s="3">
        <v>5</v>
      </c>
      <c r="E38" s="3">
        <v>37</v>
      </c>
      <c r="F38" s="3" t="s">
        <v>26</v>
      </c>
      <c r="G38" s="4">
        <v>48.15</v>
      </c>
      <c r="H38" s="5">
        <f t="array" ref="H38">INDEX(Settings!$B$3:$B$7, D38)</f>
        <v>6700000</v>
      </c>
      <c r="I38" s="5">
        <f t="shared" si="4"/>
        <v>322605000</v>
      </c>
      <c r="J38" s="5">
        <f>I38*Settings!$B$2</f>
        <v>64521000</v>
      </c>
      <c r="K38" s="5">
        <f t="shared" si="5"/>
        <v>258084000</v>
      </c>
      <c r="L38" s="3" t="s">
        <v>27</v>
      </c>
      <c r="M38" s="6" t="s">
        <v>74</v>
      </c>
      <c r="N38" s="6"/>
      <c r="O38" s="6"/>
      <c r="P38" s="6"/>
      <c r="Q38" s="7"/>
      <c r="R38" s="6">
        <v>995076514</v>
      </c>
      <c r="S38" s="6">
        <v>908999109</v>
      </c>
      <c r="T38" s="7">
        <v>45950</v>
      </c>
      <c r="U38" s="3" t="str">
        <f t="shared" si="6"/>
        <v>dd/37</v>
      </c>
      <c r="V38" s="8" t="str">
        <f t="shared" si="7"/>
        <v>2-37</v>
      </c>
      <c r="Y38" s="9"/>
      <c r="Z38" s="9"/>
    </row>
    <row r="39" spans="1:26" ht="14.4" x14ac:dyDescent="0.3">
      <c r="A39" s="3">
        <v>38</v>
      </c>
      <c r="B39" s="3">
        <v>1</v>
      </c>
      <c r="C39" s="3">
        <v>2</v>
      </c>
      <c r="D39" s="3">
        <v>5</v>
      </c>
      <c r="E39" s="3">
        <v>38</v>
      </c>
      <c r="F39" s="3" t="s">
        <v>29</v>
      </c>
      <c r="G39" s="4">
        <v>28.52</v>
      </c>
      <c r="H39" s="5">
        <f t="array" ref="H39">INDEX(Settings!$B$3:$B$7, D39)</f>
        <v>6700000</v>
      </c>
      <c r="I39" s="5">
        <f t="shared" si="4"/>
        <v>191084000</v>
      </c>
      <c r="J39" s="5">
        <f>I39*Settings!$B$2</f>
        <v>38216800</v>
      </c>
      <c r="K39" s="5">
        <f t="shared" si="5"/>
        <v>152867200</v>
      </c>
      <c r="L39" s="3" t="s">
        <v>27</v>
      </c>
      <c r="M39" s="6" t="s">
        <v>75</v>
      </c>
      <c r="N39" s="6"/>
      <c r="O39" s="6"/>
      <c r="P39" s="6"/>
      <c r="Q39" s="7"/>
      <c r="R39" s="6">
        <v>914564852</v>
      </c>
      <c r="S39" s="6">
        <v>904280318</v>
      </c>
      <c r="T39" s="7">
        <v>45989</v>
      </c>
      <c r="U39" s="3" t="str">
        <f t="shared" si="6"/>
        <v>dd/38</v>
      </c>
      <c r="V39" s="8" t="str">
        <f t="shared" si="7"/>
        <v>2-38</v>
      </c>
      <c r="Y39" s="9"/>
      <c r="Z39" s="9"/>
    </row>
    <row r="40" spans="1:26" ht="14.4" x14ac:dyDescent="0.3">
      <c r="A40" s="3">
        <v>39</v>
      </c>
      <c r="B40" s="3">
        <v>1</v>
      </c>
      <c r="C40" s="3">
        <v>2</v>
      </c>
      <c r="D40" s="3">
        <v>5</v>
      </c>
      <c r="E40" s="3">
        <v>39</v>
      </c>
      <c r="F40" s="3" t="s">
        <v>29</v>
      </c>
      <c r="G40" s="4">
        <v>31.31</v>
      </c>
      <c r="H40" s="5">
        <f t="array" ref="H40">INDEX(Settings!$B$3:$B$7, D40)</f>
        <v>6700000</v>
      </c>
      <c r="I40" s="5">
        <f t="shared" si="4"/>
        <v>209777000</v>
      </c>
      <c r="J40" s="5">
        <f>I40*Settings!$B$2</f>
        <v>41955400</v>
      </c>
      <c r="K40" s="5">
        <f t="shared" si="5"/>
        <v>167821600</v>
      </c>
      <c r="L40" s="3" t="s">
        <v>27</v>
      </c>
      <c r="M40" s="6" t="s">
        <v>76</v>
      </c>
      <c r="N40" s="6"/>
      <c r="O40" s="6"/>
      <c r="P40" s="6"/>
      <c r="Q40" s="7"/>
      <c r="R40" s="6">
        <v>873119555</v>
      </c>
      <c r="S40" s="6">
        <v>979509597</v>
      </c>
      <c r="T40" s="7">
        <v>45978</v>
      </c>
      <c r="U40" s="3" t="str">
        <f t="shared" si="6"/>
        <v>dd/39</v>
      </c>
      <c r="V40" s="8" t="str">
        <f t="shared" si="7"/>
        <v>2-39</v>
      </c>
      <c r="Y40" s="9"/>
      <c r="Z40" s="9"/>
    </row>
    <row r="41" spans="1:26" ht="14.4" x14ac:dyDescent="0.3">
      <c r="A41" s="3">
        <v>40</v>
      </c>
      <c r="B41" s="3">
        <v>1</v>
      </c>
      <c r="C41" s="3">
        <v>2</v>
      </c>
      <c r="D41" s="3">
        <v>5</v>
      </c>
      <c r="E41" s="3">
        <v>40</v>
      </c>
      <c r="F41" s="3" t="s">
        <v>29</v>
      </c>
      <c r="G41" s="4">
        <v>29.04</v>
      </c>
      <c r="H41" s="5">
        <f t="array" ref="H41">INDEX(Settings!$B$3:$B$7, D41)</f>
        <v>6700000</v>
      </c>
      <c r="I41" s="5">
        <f t="shared" si="4"/>
        <v>194568000</v>
      </c>
      <c r="J41" s="5">
        <f>I41*Settings!$B$2</f>
        <v>38913600</v>
      </c>
      <c r="K41" s="5">
        <f t="shared" si="5"/>
        <v>155654400</v>
      </c>
      <c r="L41" s="3" t="s">
        <v>27</v>
      </c>
      <c r="M41" s="6" t="s">
        <v>77</v>
      </c>
      <c r="N41" s="6"/>
      <c r="O41" s="6"/>
      <c r="P41" s="6"/>
      <c r="Q41" s="7"/>
      <c r="R41" s="6">
        <v>973181492</v>
      </c>
      <c r="S41" s="6"/>
      <c r="T41" s="7">
        <v>45965</v>
      </c>
      <c r="U41" s="3" t="str">
        <f t="shared" si="6"/>
        <v>dd/40</v>
      </c>
      <c r="V41" s="8" t="str">
        <f t="shared" si="7"/>
        <v>2-40</v>
      </c>
      <c r="Y41" s="9"/>
      <c r="Z41" s="9"/>
    </row>
    <row r="42" spans="1:26" ht="14.4" x14ac:dyDescent="0.3">
      <c r="A42" s="3">
        <v>41</v>
      </c>
      <c r="B42" s="3">
        <v>1</v>
      </c>
      <c r="C42" s="3">
        <v>3</v>
      </c>
      <c r="D42" s="3">
        <v>1</v>
      </c>
      <c r="E42" s="3">
        <v>41</v>
      </c>
      <c r="F42" s="3" t="s">
        <v>26</v>
      </c>
      <c r="G42" s="4">
        <v>48.15</v>
      </c>
      <c r="H42" s="5">
        <f t="array" ref="H42">INDEX(Settings!$B$3:$B$7, D42)</f>
        <v>7700000</v>
      </c>
      <c r="I42" s="5">
        <f t="shared" si="4"/>
        <v>370755000</v>
      </c>
      <c r="J42" s="5">
        <f>I42*Settings!$B$2</f>
        <v>74151000</v>
      </c>
      <c r="K42" s="5">
        <f t="shared" si="5"/>
        <v>296604000</v>
      </c>
      <c r="L42" s="3" t="s">
        <v>27</v>
      </c>
      <c r="M42" s="6" t="s">
        <v>78</v>
      </c>
      <c r="N42" s="6"/>
      <c r="O42" s="6"/>
      <c r="P42" s="6"/>
      <c r="Q42" s="7"/>
      <c r="R42" s="6">
        <v>914677702</v>
      </c>
      <c r="S42" s="6"/>
      <c r="T42" s="7">
        <v>46099</v>
      </c>
      <c r="U42" s="3" t="str">
        <f t="shared" si="6"/>
        <v>dd/41</v>
      </c>
      <c r="V42" s="8" t="str">
        <f t="shared" si="7"/>
        <v>3-41</v>
      </c>
      <c r="Y42" s="9"/>
      <c r="Z42" s="9"/>
    </row>
    <row r="43" spans="1:26" ht="14.4" x14ac:dyDescent="0.3">
      <c r="A43" s="3">
        <v>42</v>
      </c>
      <c r="B43" s="3">
        <v>1</v>
      </c>
      <c r="C43" s="3">
        <v>3</v>
      </c>
      <c r="D43" s="3">
        <v>1</v>
      </c>
      <c r="E43" s="3">
        <v>42</v>
      </c>
      <c r="F43" s="3" t="s">
        <v>29</v>
      </c>
      <c r="G43" s="4">
        <v>28.52</v>
      </c>
      <c r="H43" s="5">
        <f t="array" ref="H43">INDEX(Settings!$B$3:$B$7, D43)</f>
        <v>7700000</v>
      </c>
      <c r="I43" s="5">
        <f t="shared" si="4"/>
        <v>219604000</v>
      </c>
      <c r="J43" s="5">
        <f>I43*Settings!$B$2</f>
        <v>43920800</v>
      </c>
      <c r="K43" s="5">
        <f t="shared" si="5"/>
        <v>175683200</v>
      </c>
      <c r="L43" s="3" t="s">
        <v>27</v>
      </c>
      <c r="M43" s="6" t="s">
        <v>79</v>
      </c>
      <c r="N43" s="6"/>
      <c r="O43" s="6"/>
      <c r="P43" s="6"/>
      <c r="Q43" s="7"/>
      <c r="R43" s="6">
        <v>885899984</v>
      </c>
      <c r="S43" s="6"/>
      <c r="T43" s="7">
        <v>46100</v>
      </c>
      <c r="U43" s="3" t="str">
        <f t="shared" si="6"/>
        <v>dd/42</v>
      </c>
      <c r="V43" s="8" t="str">
        <f t="shared" si="7"/>
        <v>3-42</v>
      </c>
      <c r="Y43" s="9"/>
      <c r="Z43" s="9"/>
    </row>
    <row r="44" spans="1:26" ht="14.4" x14ac:dyDescent="0.3">
      <c r="A44" s="3">
        <v>43</v>
      </c>
      <c r="B44" s="3">
        <v>1</v>
      </c>
      <c r="C44" s="3">
        <v>3</v>
      </c>
      <c r="D44" s="3">
        <v>1</v>
      </c>
      <c r="E44" s="3">
        <v>43</v>
      </c>
      <c r="F44" s="3" t="s">
        <v>29</v>
      </c>
      <c r="G44" s="4">
        <v>31.31</v>
      </c>
      <c r="H44" s="5">
        <f t="array" ref="H44">INDEX(Settings!$B$3:$B$7, D44)</f>
        <v>7700000</v>
      </c>
      <c r="I44" s="5">
        <f t="shared" si="4"/>
        <v>241087000</v>
      </c>
      <c r="J44" s="5">
        <f>I44*Settings!$B$2</f>
        <v>48217400</v>
      </c>
      <c r="K44" s="5">
        <f t="shared" si="5"/>
        <v>192869600</v>
      </c>
      <c r="L44" s="3" t="s">
        <v>27</v>
      </c>
      <c r="M44" s="6" t="s">
        <v>80</v>
      </c>
      <c r="N44" s="6"/>
      <c r="O44" s="6"/>
      <c r="P44" s="6"/>
      <c r="Q44" s="7"/>
      <c r="R44" s="6">
        <v>942988005</v>
      </c>
      <c r="S44" s="6"/>
      <c r="T44" s="7">
        <v>46065</v>
      </c>
      <c r="U44" s="3" t="str">
        <f t="shared" si="6"/>
        <v>dd/43</v>
      </c>
      <c r="V44" s="8" t="str">
        <f t="shared" si="7"/>
        <v>3-43</v>
      </c>
      <c r="Y44" s="9"/>
      <c r="Z44" s="9"/>
    </row>
    <row r="45" spans="1:26" ht="14.4" x14ac:dyDescent="0.3">
      <c r="A45" s="3">
        <v>44</v>
      </c>
      <c r="B45" s="3">
        <v>1</v>
      </c>
      <c r="C45" s="3">
        <v>3</v>
      </c>
      <c r="D45" s="3">
        <v>1</v>
      </c>
      <c r="E45" s="3">
        <v>44</v>
      </c>
      <c r="F45" s="3" t="s">
        <v>29</v>
      </c>
      <c r="G45" s="4">
        <v>29.04</v>
      </c>
      <c r="H45" s="5">
        <f t="array" ref="H45">INDEX(Settings!$B$3:$B$7, D45)</f>
        <v>7700000</v>
      </c>
      <c r="I45" s="5">
        <f t="shared" si="4"/>
        <v>223608000</v>
      </c>
      <c r="J45" s="5">
        <f>I45*Settings!$B$2</f>
        <v>44721600</v>
      </c>
      <c r="K45" s="5">
        <f t="shared" si="5"/>
        <v>178886400</v>
      </c>
      <c r="L45" s="3" t="s">
        <v>27</v>
      </c>
      <c r="M45" s="6" t="s">
        <v>81</v>
      </c>
      <c r="N45" s="6"/>
      <c r="O45" s="6"/>
      <c r="P45" s="6"/>
      <c r="Q45" s="7"/>
      <c r="R45" s="6">
        <v>954951987</v>
      </c>
      <c r="S45" s="6"/>
      <c r="T45" s="7">
        <v>46055</v>
      </c>
      <c r="U45" s="3" t="str">
        <f t="shared" si="6"/>
        <v>dd/44</v>
      </c>
      <c r="V45" s="8" t="str">
        <f t="shared" si="7"/>
        <v>3-44</v>
      </c>
      <c r="Y45" s="9"/>
      <c r="Z45" s="9"/>
    </row>
    <row r="46" spans="1:26" ht="14.4" x14ac:dyDescent="0.3">
      <c r="A46" s="3">
        <v>45</v>
      </c>
      <c r="B46" s="3">
        <v>1</v>
      </c>
      <c r="C46" s="3">
        <v>3</v>
      </c>
      <c r="D46" s="3">
        <v>2</v>
      </c>
      <c r="E46" s="3">
        <v>45</v>
      </c>
      <c r="F46" s="3" t="s">
        <v>26</v>
      </c>
      <c r="G46" s="4">
        <v>48.15</v>
      </c>
      <c r="H46" s="5">
        <f t="array" ref="H46">INDEX(Settings!$B$3:$B$7, D46)</f>
        <v>7800000</v>
      </c>
      <c r="I46" s="5">
        <f t="shared" si="4"/>
        <v>375570000</v>
      </c>
      <c r="J46" s="5">
        <f>I46*Settings!$B$2</f>
        <v>75114000</v>
      </c>
      <c r="K46" s="5">
        <f t="shared" si="5"/>
        <v>300456000</v>
      </c>
      <c r="L46" s="3" t="s">
        <v>27</v>
      </c>
      <c r="M46" s="6" t="s">
        <v>82</v>
      </c>
      <c r="N46" s="6"/>
      <c r="O46" s="6"/>
      <c r="P46" s="6"/>
      <c r="Q46" s="7"/>
      <c r="R46" s="6">
        <v>970587020</v>
      </c>
      <c r="S46" s="6">
        <v>970140802</v>
      </c>
      <c r="T46" s="7">
        <v>45961</v>
      </c>
      <c r="U46" s="3" t="str">
        <f t="shared" si="6"/>
        <v>dd/45</v>
      </c>
      <c r="V46" s="8" t="str">
        <f t="shared" si="7"/>
        <v>3-45</v>
      </c>
      <c r="Y46" s="9"/>
      <c r="Z46" s="9"/>
    </row>
    <row r="47" spans="1:26" ht="14.4" x14ac:dyDescent="0.3">
      <c r="A47" s="3">
        <v>46</v>
      </c>
      <c r="B47" s="3">
        <v>1</v>
      </c>
      <c r="C47" s="3">
        <v>3</v>
      </c>
      <c r="D47" s="3">
        <v>2</v>
      </c>
      <c r="E47" s="3">
        <v>46</v>
      </c>
      <c r="F47" s="3" t="s">
        <v>29</v>
      </c>
      <c r="G47" s="4">
        <v>28.52</v>
      </c>
      <c r="H47" s="5">
        <f t="array" ref="H47">INDEX(Settings!$B$3:$B$7, D47)</f>
        <v>7800000</v>
      </c>
      <c r="I47" s="5">
        <f t="shared" si="4"/>
        <v>222456000</v>
      </c>
      <c r="J47" s="5">
        <f>I47*Settings!$B$2</f>
        <v>44491200</v>
      </c>
      <c r="K47" s="5">
        <f t="shared" si="5"/>
        <v>177964800</v>
      </c>
      <c r="L47" s="3" t="s">
        <v>27</v>
      </c>
      <c r="M47" s="6" t="s">
        <v>83</v>
      </c>
      <c r="N47" s="6"/>
      <c r="O47" s="6"/>
      <c r="P47" s="6"/>
      <c r="Q47" s="7"/>
      <c r="R47" s="6">
        <v>916388086</v>
      </c>
      <c r="S47" s="6"/>
      <c r="T47" s="7">
        <v>46051</v>
      </c>
      <c r="U47" s="3" t="str">
        <f t="shared" si="6"/>
        <v>dd/46</v>
      </c>
      <c r="V47" s="8" t="str">
        <f t="shared" si="7"/>
        <v>3-46</v>
      </c>
      <c r="Y47" s="9"/>
      <c r="Z47" s="9"/>
    </row>
    <row r="48" spans="1:26" ht="14.4" x14ac:dyDescent="0.3">
      <c r="A48" s="3">
        <v>47</v>
      </c>
      <c r="B48" s="3">
        <v>1</v>
      </c>
      <c r="C48" s="3">
        <v>3</v>
      </c>
      <c r="D48" s="3">
        <v>2</v>
      </c>
      <c r="E48" s="3">
        <v>47</v>
      </c>
      <c r="F48" s="3" t="s">
        <v>29</v>
      </c>
      <c r="G48" s="4">
        <v>31.31</v>
      </c>
      <c r="H48" s="5">
        <f t="array" ref="H48">INDEX(Settings!$B$3:$B$7, D48)</f>
        <v>7800000</v>
      </c>
      <c r="I48" s="5">
        <f t="shared" si="4"/>
        <v>244218000</v>
      </c>
      <c r="J48" s="5">
        <f>I48*Settings!$B$2</f>
        <v>48843600</v>
      </c>
      <c r="K48" s="5">
        <f t="shared" si="5"/>
        <v>195374400</v>
      </c>
      <c r="L48" s="3" t="s">
        <v>27</v>
      </c>
      <c r="M48" s="6" t="s">
        <v>84</v>
      </c>
      <c r="N48" s="6"/>
      <c r="O48" s="6"/>
      <c r="P48" s="6"/>
      <c r="Q48" s="7"/>
      <c r="R48" s="6">
        <v>908800902</v>
      </c>
      <c r="S48" s="6">
        <v>943259003</v>
      </c>
      <c r="T48" s="7">
        <v>46035</v>
      </c>
      <c r="U48" s="3" t="str">
        <f t="shared" si="6"/>
        <v>dd/47</v>
      </c>
      <c r="V48" s="8" t="str">
        <f t="shared" si="7"/>
        <v>3-47</v>
      </c>
      <c r="Y48" s="9"/>
      <c r="Z48" s="9"/>
    </row>
    <row r="49" spans="1:26" ht="14.4" x14ac:dyDescent="0.3">
      <c r="A49" s="3">
        <v>48</v>
      </c>
      <c r="B49" s="3">
        <v>1</v>
      </c>
      <c r="C49" s="3">
        <v>3</v>
      </c>
      <c r="D49" s="3">
        <v>2</v>
      </c>
      <c r="E49" s="3">
        <v>48</v>
      </c>
      <c r="F49" s="3" t="s">
        <v>29</v>
      </c>
      <c r="G49" s="4">
        <v>29.04</v>
      </c>
      <c r="H49" s="5">
        <f t="array" ref="H49">INDEX(Settings!$B$3:$B$7, D49)</f>
        <v>7800000</v>
      </c>
      <c r="I49" s="5">
        <f t="shared" si="4"/>
        <v>226512000</v>
      </c>
      <c r="J49" s="5">
        <f>I49*Settings!$B$2</f>
        <v>45302400</v>
      </c>
      <c r="K49" s="5">
        <f t="shared" si="5"/>
        <v>181209600</v>
      </c>
      <c r="L49" s="3" t="s">
        <v>27</v>
      </c>
      <c r="M49" s="6" t="s">
        <v>85</v>
      </c>
      <c r="N49" s="6"/>
      <c r="O49" s="6"/>
      <c r="P49" s="6"/>
      <c r="Q49" s="7"/>
      <c r="R49" s="6">
        <v>995810222</v>
      </c>
      <c r="S49" s="6">
        <v>884972028</v>
      </c>
      <c r="T49" s="7">
        <v>45964</v>
      </c>
      <c r="U49" s="3" t="str">
        <f t="shared" si="6"/>
        <v>dd/48</v>
      </c>
      <c r="V49" s="8" t="str">
        <f t="shared" si="7"/>
        <v>3-48</v>
      </c>
      <c r="Y49" s="9"/>
      <c r="Z49" s="9"/>
    </row>
    <row r="50" spans="1:26" ht="14.4" x14ac:dyDescent="0.3">
      <c r="A50" s="3">
        <v>49</v>
      </c>
      <c r="B50" s="3">
        <v>1</v>
      </c>
      <c r="C50" s="3">
        <v>3</v>
      </c>
      <c r="D50" s="3">
        <v>3</v>
      </c>
      <c r="E50" s="3">
        <v>49</v>
      </c>
      <c r="F50" s="3" t="s">
        <v>26</v>
      </c>
      <c r="G50" s="4">
        <v>48.15</v>
      </c>
      <c r="H50" s="5">
        <f t="array" ref="H50">INDEX(Settings!$B$3:$B$7, D50)</f>
        <v>7300000</v>
      </c>
      <c r="I50" s="5">
        <f t="shared" si="4"/>
        <v>351495000</v>
      </c>
      <c r="J50" s="5">
        <f>I50*Settings!$B$2</f>
        <v>70299000</v>
      </c>
      <c r="K50" s="5">
        <f t="shared" si="5"/>
        <v>281196000</v>
      </c>
      <c r="L50" s="3" t="s">
        <v>27</v>
      </c>
      <c r="M50" s="6" t="s">
        <v>86</v>
      </c>
      <c r="N50" s="6"/>
      <c r="O50" s="6"/>
      <c r="P50" s="6"/>
      <c r="Q50" s="7"/>
      <c r="R50" s="6">
        <v>912622379</v>
      </c>
      <c r="S50" s="6"/>
      <c r="T50" s="7">
        <v>45933</v>
      </c>
      <c r="U50" s="3" t="str">
        <f t="shared" si="6"/>
        <v>dd/49</v>
      </c>
      <c r="V50" s="8" t="str">
        <f t="shared" si="7"/>
        <v>3-49</v>
      </c>
      <c r="Y50" s="9"/>
      <c r="Z50" s="9"/>
    </row>
    <row r="51" spans="1:26" ht="14.4" x14ac:dyDescent="0.3">
      <c r="A51" s="3">
        <v>50</v>
      </c>
      <c r="B51" s="3">
        <v>1</v>
      </c>
      <c r="C51" s="3">
        <v>3</v>
      </c>
      <c r="D51" s="3">
        <v>3</v>
      </c>
      <c r="E51" s="3">
        <v>50</v>
      </c>
      <c r="F51" s="3" t="s">
        <v>29</v>
      </c>
      <c r="G51" s="4">
        <v>28.52</v>
      </c>
      <c r="H51" s="5">
        <f t="array" ref="H51">INDEX(Settings!$B$3:$B$7, D51)</f>
        <v>7300000</v>
      </c>
      <c r="I51" s="5">
        <f t="shared" si="4"/>
        <v>208196000</v>
      </c>
      <c r="J51" s="5">
        <f>I51*Settings!$B$2</f>
        <v>41639200</v>
      </c>
      <c r="K51" s="5">
        <f t="shared" si="5"/>
        <v>166556800</v>
      </c>
      <c r="L51" s="3" t="s">
        <v>27</v>
      </c>
      <c r="M51" s="6" t="s">
        <v>87</v>
      </c>
      <c r="N51" s="6"/>
      <c r="O51" s="6"/>
      <c r="P51" s="6"/>
      <c r="Q51" s="7"/>
      <c r="R51" s="6">
        <v>881100381</v>
      </c>
      <c r="S51" s="6"/>
      <c r="T51" s="7">
        <v>45959</v>
      </c>
      <c r="U51" s="3" t="str">
        <f t="shared" si="6"/>
        <v>dd/50</v>
      </c>
      <c r="V51" s="8" t="str">
        <f t="shared" si="7"/>
        <v>3-50</v>
      </c>
      <c r="Y51" s="9"/>
      <c r="Z51" s="9"/>
    </row>
    <row r="52" spans="1:26" ht="14.4" x14ac:dyDescent="0.3">
      <c r="A52" s="3">
        <v>51</v>
      </c>
      <c r="B52" s="3">
        <v>1</v>
      </c>
      <c r="C52" s="3">
        <v>3</v>
      </c>
      <c r="D52" s="3">
        <v>3</v>
      </c>
      <c r="E52" s="3">
        <v>51</v>
      </c>
      <c r="F52" s="3" t="s">
        <v>29</v>
      </c>
      <c r="G52" s="4">
        <v>31.31</v>
      </c>
      <c r="H52" s="5">
        <f t="array" ref="H52">INDEX(Settings!$B$3:$B$7, D52)</f>
        <v>7300000</v>
      </c>
      <c r="I52" s="5">
        <f t="shared" si="4"/>
        <v>228563000</v>
      </c>
      <c r="J52" s="5">
        <f>I52*Settings!$B$2</f>
        <v>45712600</v>
      </c>
      <c r="K52" s="5">
        <f t="shared" si="5"/>
        <v>182850400</v>
      </c>
      <c r="L52" s="3" t="s">
        <v>27</v>
      </c>
      <c r="M52" s="6" t="s">
        <v>88</v>
      </c>
      <c r="N52" s="6"/>
      <c r="O52" s="6"/>
      <c r="P52" s="6"/>
      <c r="Q52" s="7"/>
      <c r="R52" s="6">
        <v>978887374</v>
      </c>
      <c r="S52" s="6">
        <v>937276121</v>
      </c>
      <c r="T52" s="7">
        <v>45951</v>
      </c>
      <c r="U52" s="3" t="str">
        <f t="shared" si="6"/>
        <v>dd/51</v>
      </c>
      <c r="V52" s="8" t="str">
        <f t="shared" si="7"/>
        <v>3-51</v>
      </c>
      <c r="Y52" s="9"/>
      <c r="Z52" s="9"/>
    </row>
    <row r="53" spans="1:26" ht="14.4" x14ac:dyDescent="0.3">
      <c r="A53" s="3">
        <v>52</v>
      </c>
      <c r="B53" s="3">
        <v>1</v>
      </c>
      <c r="C53" s="3">
        <v>3</v>
      </c>
      <c r="D53" s="3">
        <v>3</v>
      </c>
      <c r="E53" s="3">
        <v>52</v>
      </c>
      <c r="F53" s="3" t="s">
        <v>29</v>
      </c>
      <c r="G53" s="4">
        <v>29.04</v>
      </c>
      <c r="H53" s="5">
        <f t="array" ref="H53">INDEX(Settings!$B$3:$B$7, D53)</f>
        <v>7300000</v>
      </c>
      <c r="I53" s="5">
        <f t="shared" si="4"/>
        <v>211992000</v>
      </c>
      <c r="J53" s="5">
        <f>I53*Settings!$B$2</f>
        <v>42398400</v>
      </c>
      <c r="K53" s="5">
        <f t="shared" si="5"/>
        <v>169593600</v>
      </c>
      <c r="L53" s="3" t="s">
        <v>27</v>
      </c>
      <c r="M53" s="6" t="s">
        <v>89</v>
      </c>
      <c r="N53" s="6"/>
      <c r="O53" s="6"/>
      <c r="P53" s="6"/>
      <c r="Q53" s="7"/>
      <c r="R53" s="6"/>
      <c r="S53" s="6"/>
      <c r="T53" s="7">
        <v>45952</v>
      </c>
      <c r="U53" s="3" t="str">
        <f t="shared" si="6"/>
        <v>dd/52</v>
      </c>
      <c r="V53" s="8" t="str">
        <f t="shared" si="7"/>
        <v>3-52</v>
      </c>
      <c r="Y53" s="9"/>
      <c r="Z53" s="9"/>
    </row>
    <row r="54" spans="1:26" ht="14.4" x14ac:dyDescent="0.3">
      <c r="A54" s="3">
        <v>53</v>
      </c>
      <c r="B54" s="3">
        <v>1</v>
      </c>
      <c r="C54" s="3">
        <v>3</v>
      </c>
      <c r="D54" s="3">
        <v>4</v>
      </c>
      <c r="E54" s="3">
        <v>53</v>
      </c>
      <c r="F54" s="3" t="s">
        <v>26</v>
      </c>
      <c r="G54" s="4">
        <v>48.15</v>
      </c>
      <c r="H54" s="5">
        <f t="array" ref="H54">INDEX(Settings!$B$3:$B$7, D54)</f>
        <v>7000000</v>
      </c>
      <c r="I54" s="5">
        <f t="shared" si="4"/>
        <v>337050000</v>
      </c>
      <c r="J54" s="5">
        <f>I54*Settings!$B$2</f>
        <v>67410000</v>
      </c>
      <c r="K54" s="5">
        <f t="shared" si="5"/>
        <v>269640000</v>
      </c>
      <c r="L54" s="3" t="s">
        <v>27</v>
      </c>
      <c r="M54" s="6" t="s">
        <v>90</v>
      </c>
      <c r="N54" s="6"/>
      <c r="O54" s="6"/>
      <c r="P54" s="6"/>
      <c r="Q54" s="7"/>
      <c r="R54" s="6">
        <v>885895883</v>
      </c>
      <c r="S54" s="6">
        <v>974057300</v>
      </c>
      <c r="T54" s="7">
        <v>45950</v>
      </c>
      <c r="U54" s="3" t="str">
        <f t="shared" si="6"/>
        <v>dd/53</v>
      </c>
      <c r="V54" s="8" t="str">
        <f t="shared" si="7"/>
        <v>3-53</v>
      </c>
      <c r="Y54" s="9"/>
      <c r="Z54" s="9"/>
    </row>
    <row r="55" spans="1:26" ht="14.4" x14ac:dyDescent="0.3">
      <c r="A55" s="3">
        <v>54</v>
      </c>
      <c r="B55" s="3">
        <v>1</v>
      </c>
      <c r="C55" s="3">
        <v>3</v>
      </c>
      <c r="D55" s="3">
        <v>4</v>
      </c>
      <c r="E55" s="3">
        <v>54</v>
      </c>
      <c r="F55" s="3" t="s">
        <v>29</v>
      </c>
      <c r="G55" s="4">
        <v>28.52</v>
      </c>
      <c r="H55" s="5">
        <f t="array" ref="H55">INDEX(Settings!$B$3:$B$7, D55)</f>
        <v>7000000</v>
      </c>
      <c r="I55" s="5">
        <f t="shared" si="4"/>
        <v>199640000</v>
      </c>
      <c r="J55" s="5">
        <f>I55*Settings!$B$2</f>
        <v>39928000</v>
      </c>
      <c r="K55" s="5">
        <f t="shared" si="5"/>
        <v>159712000</v>
      </c>
      <c r="L55" s="3" t="s">
        <v>27</v>
      </c>
      <c r="M55" s="6" t="s">
        <v>91</v>
      </c>
      <c r="N55" s="6"/>
      <c r="O55" s="6"/>
      <c r="P55" s="6"/>
      <c r="Q55" s="7"/>
      <c r="R55" s="6">
        <v>906082489</v>
      </c>
      <c r="S55" s="6"/>
      <c r="T55" s="7">
        <v>45957</v>
      </c>
      <c r="U55" s="3" t="str">
        <f t="shared" si="6"/>
        <v>dd/54</v>
      </c>
      <c r="V55" s="8" t="str">
        <f t="shared" si="7"/>
        <v>3-54</v>
      </c>
      <c r="Y55" s="9"/>
      <c r="Z55" s="9"/>
    </row>
    <row r="56" spans="1:26" ht="14.4" x14ac:dyDescent="0.3">
      <c r="A56" s="3">
        <v>55</v>
      </c>
      <c r="B56" s="3">
        <v>1</v>
      </c>
      <c r="C56" s="3">
        <v>3</v>
      </c>
      <c r="D56" s="3">
        <v>4</v>
      </c>
      <c r="E56" s="3">
        <v>55</v>
      </c>
      <c r="F56" s="3" t="s">
        <v>29</v>
      </c>
      <c r="G56" s="4">
        <v>31.31</v>
      </c>
      <c r="H56" s="5">
        <f t="array" ref="H56">INDEX(Settings!$B$3:$B$7, D56)</f>
        <v>7000000</v>
      </c>
      <c r="I56" s="5">
        <f t="shared" si="4"/>
        <v>219170000</v>
      </c>
      <c r="J56" s="5">
        <f>I56*Settings!$B$2</f>
        <v>43834000</v>
      </c>
      <c r="K56" s="5">
        <f t="shared" si="5"/>
        <v>175336000</v>
      </c>
      <c r="L56" s="3" t="s">
        <v>27</v>
      </c>
      <c r="M56" s="6" t="s">
        <v>92</v>
      </c>
      <c r="N56" s="6"/>
      <c r="O56" s="6"/>
      <c r="P56" s="6"/>
      <c r="Q56" s="7"/>
      <c r="R56" s="6">
        <v>911040575</v>
      </c>
      <c r="S56" s="6">
        <v>970662101</v>
      </c>
      <c r="T56" s="7">
        <v>46030</v>
      </c>
      <c r="U56" s="3" t="str">
        <f t="shared" si="6"/>
        <v>dd/55</v>
      </c>
      <c r="V56" s="8" t="str">
        <f t="shared" si="7"/>
        <v>3-55</v>
      </c>
      <c r="Y56" s="9"/>
      <c r="Z56" s="9"/>
    </row>
    <row r="57" spans="1:26" ht="14.4" x14ac:dyDescent="0.3">
      <c r="A57" s="3">
        <v>56</v>
      </c>
      <c r="B57" s="3">
        <v>1</v>
      </c>
      <c r="C57" s="3">
        <v>3</v>
      </c>
      <c r="D57" s="3">
        <v>4</v>
      </c>
      <c r="E57" s="3">
        <v>56</v>
      </c>
      <c r="F57" s="3" t="s">
        <v>29</v>
      </c>
      <c r="G57" s="4">
        <v>29.04</v>
      </c>
      <c r="H57" s="5">
        <f t="array" ref="H57">INDEX(Settings!$B$3:$B$7, D57)</f>
        <v>7000000</v>
      </c>
      <c r="I57" s="5">
        <f t="shared" si="4"/>
        <v>203280000</v>
      </c>
      <c r="J57" s="5">
        <f>I57*Settings!$B$2</f>
        <v>40656000</v>
      </c>
      <c r="K57" s="5">
        <f t="shared" si="5"/>
        <v>162624000</v>
      </c>
      <c r="L57" s="3" t="s">
        <v>27</v>
      </c>
      <c r="M57" s="6" t="s">
        <v>93</v>
      </c>
      <c r="N57" s="6"/>
      <c r="O57" s="6"/>
      <c r="P57" s="6"/>
      <c r="Q57" s="7"/>
      <c r="R57" s="6"/>
      <c r="S57" s="6"/>
      <c r="T57" s="7">
        <v>45960</v>
      </c>
      <c r="U57" s="3" t="str">
        <f t="shared" si="6"/>
        <v>dd/56</v>
      </c>
      <c r="V57" s="8" t="str">
        <f t="shared" si="7"/>
        <v>3-56</v>
      </c>
      <c r="Y57" s="9"/>
      <c r="Z57" s="9"/>
    </row>
    <row r="58" spans="1:26" ht="14.4" x14ac:dyDescent="0.3">
      <c r="A58" s="3">
        <v>57</v>
      </c>
      <c r="B58" s="3">
        <v>1</v>
      </c>
      <c r="C58" s="3">
        <v>3</v>
      </c>
      <c r="D58" s="3">
        <v>5</v>
      </c>
      <c r="E58" s="3">
        <v>57</v>
      </c>
      <c r="F58" s="3" t="s">
        <v>26</v>
      </c>
      <c r="G58" s="4">
        <v>48.15</v>
      </c>
      <c r="H58" s="5">
        <f t="array" ref="H58">INDEX(Settings!$B$3:$B$7, D58)</f>
        <v>6700000</v>
      </c>
      <c r="I58" s="5">
        <f t="shared" si="4"/>
        <v>322605000</v>
      </c>
      <c r="J58" s="5">
        <f>I58*Settings!$B$2</f>
        <v>64521000</v>
      </c>
      <c r="K58" s="5">
        <f t="shared" si="5"/>
        <v>258084000</v>
      </c>
      <c r="L58" s="3" t="s">
        <v>27</v>
      </c>
      <c r="M58" s="6" t="s">
        <v>94</v>
      </c>
      <c r="N58" s="6"/>
      <c r="O58" s="6"/>
      <c r="P58" s="6"/>
      <c r="Q58" s="7"/>
      <c r="R58" s="6"/>
      <c r="S58" s="6"/>
      <c r="T58" s="7">
        <v>45973</v>
      </c>
      <c r="U58" s="3" t="str">
        <f t="shared" si="6"/>
        <v>dd/57</v>
      </c>
      <c r="V58" s="8" t="str">
        <f t="shared" si="7"/>
        <v>3-57</v>
      </c>
      <c r="Y58" s="9"/>
      <c r="Z58" s="9"/>
    </row>
    <row r="59" spans="1:26" ht="14.4" x14ac:dyDescent="0.3">
      <c r="A59" s="3">
        <v>58</v>
      </c>
      <c r="B59" s="3">
        <v>1</v>
      </c>
      <c r="C59" s="3">
        <v>3</v>
      </c>
      <c r="D59" s="3">
        <v>5</v>
      </c>
      <c r="E59" s="3">
        <v>58</v>
      </c>
      <c r="F59" s="3" t="s">
        <v>29</v>
      </c>
      <c r="G59" s="4">
        <v>28.52</v>
      </c>
      <c r="H59" s="5">
        <f t="array" ref="H59">INDEX(Settings!$B$3:$B$7, D59)</f>
        <v>6700000</v>
      </c>
      <c r="I59" s="5">
        <f t="shared" si="4"/>
        <v>191084000</v>
      </c>
      <c r="J59" s="5">
        <f>I59*Settings!$B$2</f>
        <v>38216800</v>
      </c>
      <c r="K59" s="5">
        <f t="shared" si="5"/>
        <v>152867200</v>
      </c>
      <c r="L59" s="3" t="s">
        <v>27</v>
      </c>
      <c r="M59" s="6" t="s">
        <v>95</v>
      </c>
      <c r="N59" s="6"/>
      <c r="O59" s="6"/>
      <c r="P59" s="6"/>
      <c r="Q59" s="7"/>
      <c r="R59" s="6"/>
      <c r="S59" s="6"/>
      <c r="T59" s="7">
        <v>45926</v>
      </c>
      <c r="U59" s="3" t="str">
        <f t="shared" si="6"/>
        <v>dd/58</v>
      </c>
      <c r="V59" s="8" t="str">
        <f t="shared" si="7"/>
        <v>3-58</v>
      </c>
      <c r="Y59" s="9"/>
      <c r="Z59" s="9"/>
    </row>
    <row r="60" spans="1:26" ht="14.4" x14ac:dyDescent="0.3">
      <c r="A60" s="3">
        <v>59</v>
      </c>
      <c r="B60" s="3">
        <v>1</v>
      </c>
      <c r="C60" s="3">
        <v>3</v>
      </c>
      <c r="D60" s="3">
        <v>5</v>
      </c>
      <c r="E60" s="3">
        <v>59</v>
      </c>
      <c r="F60" s="3" t="s">
        <v>29</v>
      </c>
      <c r="G60" s="4">
        <v>31.31</v>
      </c>
      <c r="H60" s="5">
        <f t="array" ref="H60">INDEX(Settings!$B$3:$B$7, D60)</f>
        <v>6700000</v>
      </c>
      <c r="I60" s="5">
        <f t="shared" si="4"/>
        <v>209777000</v>
      </c>
      <c r="J60" s="5">
        <f>I60*Settings!$B$2</f>
        <v>41955400</v>
      </c>
      <c r="K60" s="5">
        <f t="shared" si="5"/>
        <v>167821600</v>
      </c>
      <c r="L60" s="3" t="s">
        <v>27</v>
      </c>
      <c r="M60" s="6" t="s">
        <v>96</v>
      </c>
      <c r="N60" s="6"/>
      <c r="O60" s="6"/>
      <c r="P60" s="6"/>
      <c r="Q60" s="7"/>
      <c r="R60" s="6"/>
      <c r="S60" s="6"/>
      <c r="T60" s="7">
        <v>45947</v>
      </c>
      <c r="U60" s="3" t="str">
        <f t="shared" si="6"/>
        <v>dd/59</v>
      </c>
      <c r="V60" s="8" t="str">
        <f t="shared" si="7"/>
        <v>3-59</v>
      </c>
      <c r="Y60" s="9"/>
      <c r="Z60" s="9"/>
    </row>
    <row r="61" spans="1:26" ht="14.4" x14ac:dyDescent="0.3">
      <c r="A61" s="3">
        <v>60</v>
      </c>
      <c r="B61" s="3">
        <v>1</v>
      </c>
      <c r="C61" s="3">
        <v>3</v>
      </c>
      <c r="D61" s="3">
        <v>5</v>
      </c>
      <c r="E61" s="3">
        <v>60</v>
      </c>
      <c r="F61" s="3" t="s">
        <v>29</v>
      </c>
      <c r="G61" s="4">
        <v>29.04</v>
      </c>
      <c r="H61" s="5">
        <f t="array" ref="H61">INDEX(Settings!$B$3:$B$7, D61)</f>
        <v>6700000</v>
      </c>
      <c r="I61" s="5">
        <f t="shared" si="4"/>
        <v>194568000</v>
      </c>
      <c r="J61" s="5">
        <f>I61*Settings!$B$2</f>
        <v>38913600</v>
      </c>
      <c r="K61" s="5">
        <f t="shared" si="5"/>
        <v>155654400</v>
      </c>
      <c r="L61" s="3" t="s">
        <v>27</v>
      </c>
      <c r="M61" s="6" t="s">
        <v>97</v>
      </c>
      <c r="N61" s="6"/>
      <c r="O61" s="6"/>
      <c r="P61" s="6"/>
      <c r="Q61" s="7"/>
      <c r="R61" s="6"/>
      <c r="S61" s="6"/>
      <c r="T61" s="7">
        <v>45944</v>
      </c>
      <c r="U61" s="3" t="str">
        <f t="shared" si="6"/>
        <v>dd/60</v>
      </c>
      <c r="V61" s="8" t="str">
        <f t="shared" si="7"/>
        <v>3-60</v>
      </c>
      <c r="Y61" s="9"/>
      <c r="Z61" s="9"/>
    </row>
    <row r="62" spans="1:26" ht="14.4" x14ac:dyDescent="0.3">
      <c r="A62" s="3">
        <v>61</v>
      </c>
      <c r="B62" s="3">
        <v>1</v>
      </c>
      <c r="C62" s="3">
        <v>4</v>
      </c>
      <c r="D62" s="3">
        <v>1</v>
      </c>
      <c r="E62" s="3">
        <v>61</v>
      </c>
      <c r="F62" s="3" t="s">
        <v>26</v>
      </c>
      <c r="G62" s="4">
        <v>48.15</v>
      </c>
      <c r="H62" s="5">
        <v>7700000</v>
      </c>
      <c r="I62" s="5">
        <v>370755000</v>
      </c>
      <c r="J62" s="5">
        <v>74151000</v>
      </c>
      <c r="K62" s="5">
        <v>296604000</v>
      </c>
      <c r="L62" s="3" t="s">
        <v>27</v>
      </c>
      <c r="M62" s="6" t="s">
        <v>98</v>
      </c>
      <c r="N62" s="6" t="s">
        <v>99</v>
      </c>
      <c r="O62" s="6" t="s">
        <v>100</v>
      </c>
      <c r="P62" s="6" t="s">
        <v>101</v>
      </c>
      <c r="Q62" s="7">
        <v>45579</v>
      </c>
      <c r="R62" s="6">
        <v>973865252</v>
      </c>
      <c r="S62" s="6">
        <v>973865252</v>
      </c>
      <c r="T62" s="7">
        <v>46190</v>
      </c>
      <c r="U62" s="3" t="s">
        <v>102</v>
      </c>
      <c r="V62" s="8" t="s">
        <v>103</v>
      </c>
      <c r="W62" s="10" t="s">
        <v>63</v>
      </c>
      <c r="Y62" s="9"/>
      <c r="Z62" s="9"/>
    </row>
    <row r="63" spans="1:26" ht="14.4" x14ac:dyDescent="0.3">
      <c r="A63" s="3">
        <v>62</v>
      </c>
      <c r="B63" s="3">
        <v>1</v>
      </c>
      <c r="C63" s="3">
        <v>4</v>
      </c>
      <c r="D63" s="3">
        <v>1</v>
      </c>
      <c r="E63" s="3">
        <v>62</v>
      </c>
      <c r="F63" s="3" t="s">
        <v>29</v>
      </c>
      <c r="G63" s="4">
        <v>28.52</v>
      </c>
      <c r="H63" s="5">
        <f t="array" ref="H63">INDEX(Settings!$B$3:$B$7, D63)</f>
        <v>7700000</v>
      </c>
      <c r="I63" s="5">
        <f t="shared" ref="I63:I81" si="8">G63*H63</f>
        <v>219604000</v>
      </c>
      <c r="J63" s="5">
        <f>I63*Settings!$B$2</f>
        <v>43920800</v>
      </c>
      <c r="K63" s="5">
        <f t="shared" ref="K63:K81" si="9">I63-J63</f>
        <v>175683200</v>
      </c>
      <c r="L63" s="3" t="s">
        <v>27</v>
      </c>
      <c r="M63" s="6" t="s">
        <v>104</v>
      </c>
      <c r="N63" s="6"/>
      <c r="O63" s="6"/>
      <c r="P63" s="6"/>
      <c r="Q63" s="7"/>
      <c r="R63" s="6"/>
      <c r="S63" s="6"/>
      <c r="T63" s="7">
        <v>46055</v>
      </c>
      <c r="U63" s="3" t="str">
        <f t="shared" ref="U63:U81" si="10">TEXT(T63,"dd")&amp;"/"&amp;TEXT(E63,"00")</f>
        <v>dd/62</v>
      </c>
      <c r="V63" s="8" t="str">
        <f t="shared" ref="V63:V81" si="11">C63&amp;"-"&amp;E63</f>
        <v>4-62</v>
      </c>
      <c r="Y63" s="9"/>
      <c r="Z63" s="9"/>
    </row>
    <row r="64" spans="1:26" ht="14.4" x14ac:dyDescent="0.3">
      <c r="A64" s="3">
        <v>63</v>
      </c>
      <c r="B64" s="3">
        <v>1</v>
      </c>
      <c r="C64" s="3">
        <v>4</v>
      </c>
      <c r="D64" s="3">
        <v>1</v>
      </c>
      <c r="E64" s="3">
        <v>63</v>
      </c>
      <c r="F64" s="3" t="s">
        <v>29</v>
      </c>
      <c r="G64" s="4">
        <v>31.31</v>
      </c>
      <c r="H64" s="5">
        <f t="array" ref="H64">INDEX(Settings!$B$3:$B$7, D64)</f>
        <v>7700000</v>
      </c>
      <c r="I64" s="5">
        <f t="shared" si="8"/>
        <v>241087000</v>
      </c>
      <c r="J64" s="5">
        <f>I64*Settings!$B$2</f>
        <v>48217400</v>
      </c>
      <c r="K64" s="5">
        <f t="shared" si="9"/>
        <v>192869600</v>
      </c>
      <c r="L64" s="3" t="s">
        <v>27</v>
      </c>
      <c r="M64" s="6" t="s">
        <v>105</v>
      </c>
      <c r="N64" s="6"/>
      <c r="O64" s="6"/>
      <c r="P64" s="6"/>
      <c r="Q64" s="7"/>
      <c r="R64" s="6"/>
      <c r="S64" s="6"/>
      <c r="T64" s="7">
        <v>46080</v>
      </c>
      <c r="U64" s="3" t="str">
        <f t="shared" si="10"/>
        <v>dd/63</v>
      </c>
      <c r="V64" s="8" t="str">
        <f t="shared" si="11"/>
        <v>4-63</v>
      </c>
      <c r="Y64" s="9"/>
      <c r="Z64" s="9"/>
    </row>
    <row r="65" spans="1:26" ht="14.4" x14ac:dyDescent="0.3">
      <c r="A65" s="3">
        <v>64</v>
      </c>
      <c r="B65" s="3">
        <v>1</v>
      </c>
      <c r="C65" s="3">
        <v>4</v>
      </c>
      <c r="D65" s="3">
        <v>1</v>
      </c>
      <c r="E65" s="3">
        <v>64</v>
      </c>
      <c r="F65" s="3" t="s">
        <v>29</v>
      </c>
      <c r="G65" s="4">
        <v>29.04</v>
      </c>
      <c r="H65" s="5">
        <f t="array" ref="H65">INDEX(Settings!$B$3:$B$7, D65)</f>
        <v>7700000</v>
      </c>
      <c r="I65" s="5">
        <f t="shared" si="8"/>
        <v>223608000</v>
      </c>
      <c r="J65" s="5">
        <f>I65*Settings!$B$2</f>
        <v>44721600</v>
      </c>
      <c r="K65" s="5">
        <f t="shared" si="9"/>
        <v>178886400</v>
      </c>
      <c r="L65" s="3" t="s">
        <v>27</v>
      </c>
      <c r="M65" s="6" t="s">
        <v>106</v>
      </c>
      <c r="N65" s="6"/>
      <c r="O65" s="6"/>
      <c r="P65" s="6"/>
      <c r="Q65" s="7"/>
      <c r="R65" s="6"/>
      <c r="S65" s="6"/>
      <c r="T65" s="7">
        <v>46094</v>
      </c>
      <c r="U65" s="3" t="str">
        <f t="shared" si="10"/>
        <v>dd/64</v>
      </c>
      <c r="V65" s="8" t="str">
        <f t="shared" si="11"/>
        <v>4-64</v>
      </c>
      <c r="Y65" s="9"/>
      <c r="Z65" s="9"/>
    </row>
    <row r="66" spans="1:26" ht="14.4" x14ac:dyDescent="0.3">
      <c r="A66" s="3">
        <v>65</v>
      </c>
      <c r="B66" s="3">
        <v>1</v>
      </c>
      <c r="C66" s="3">
        <v>4</v>
      </c>
      <c r="D66" s="3">
        <v>2</v>
      </c>
      <c r="E66" s="3">
        <v>65</v>
      </c>
      <c r="F66" s="3" t="s">
        <v>26</v>
      </c>
      <c r="G66" s="4">
        <v>48.15</v>
      </c>
      <c r="H66" s="5">
        <f t="array" ref="H66">INDEX(Settings!$B$3:$B$7, D66)</f>
        <v>7800000</v>
      </c>
      <c r="I66" s="5">
        <f t="shared" si="8"/>
        <v>375570000</v>
      </c>
      <c r="J66" s="5">
        <f>I66*Settings!$B$2</f>
        <v>75114000</v>
      </c>
      <c r="K66" s="5">
        <f t="shared" si="9"/>
        <v>300456000</v>
      </c>
      <c r="L66" s="3" t="s">
        <v>27</v>
      </c>
      <c r="M66" s="6" t="s">
        <v>107</v>
      </c>
      <c r="N66" s="6"/>
      <c r="O66" s="6"/>
      <c r="P66" s="6"/>
      <c r="Q66" s="7"/>
      <c r="R66" s="6"/>
      <c r="S66" s="6"/>
      <c r="T66" s="7">
        <v>46095</v>
      </c>
      <c r="U66" s="3" t="str">
        <f t="shared" si="10"/>
        <v>dd/65</v>
      </c>
      <c r="V66" s="8" t="str">
        <f t="shared" si="11"/>
        <v>4-65</v>
      </c>
      <c r="Y66" s="9"/>
      <c r="Z66" s="9"/>
    </row>
    <row r="67" spans="1:26" ht="14.4" x14ac:dyDescent="0.3">
      <c r="A67" s="3">
        <v>66</v>
      </c>
      <c r="B67" s="3">
        <v>1</v>
      </c>
      <c r="C67" s="3">
        <v>4</v>
      </c>
      <c r="D67" s="3">
        <v>2</v>
      </c>
      <c r="E67" s="3">
        <v>66</v>
      </c>
      <c r="F67" s="3" t="s">
        <v>29</v>
      </c>
      <c r="G67" s="4">
        <v>28.52</v>
      </c>
      <c r="H67" s="5">
        <f t="array" ref="H67">INDEX(Settings!$B$3:$B$7, D67)</f>
        <v>7800000</v>
      </c>
      <c r="I67" s="5">
        <f t="shared" si="8"/>
        <v>222456000</v>
      </c>
      <c r="J67" s="5">
        <f>I67*Settings!$B$2</f>
        <v>44491200</v>
      </c>
      <c r="K67" s="5">
        <f t="shared" si="9"/>
        <v>177964800</v>
      </c>
      <c r="L67" s="3" t="s">
        <v>27</v>
      </c>
      <c r="M67" s="6" t="s">
        <v>108</v>
      </c>
      <c r="N67" s="6"/>
      <c r="O67" s="6"/>
      <c r="P67" s="6"/>
      <c r="Q67" s="7"/>
      <c r="R67" s="6"/>
      <c r="S67" s="6"/>
      <c r="T67" s="7">
        <v>46070</v>
      </c>
      <c r="U67" s="3" t="str">
        <f t="shared" si="10"/>
        <v>dd/66</v>
      </c>
      <c r="V67" s="8" t="str">
        <f t="shared" si="11"/>
        <v>4-66</v>
      </c>
      <c r="Y67" s="9"/>
      <c r="Z67" s="9"/>
    </row>
    <row r="68" spans="1:26" ht="14.4" x14ac:dyDescent="0.3">
      <c r="A68" s="3">
        <v>67</v>
      </c>
      <c r="B68" s="3">
        <v>1</v>
      </c>
      <c r="C68" s="3">
        <v>4</v>
      </c>
      <c r="D68" s="3">
        <v>2</v>
      </c>
      <c r="E68" s="3">
        <v>67</v>
      </c>
      <c r="F68" s="3" t="s">
        <v>29</v>
      </c>
      <c r="G68" s="4">
        <v>31.31</v>
      </c>
      <c r="H68" s="5">
        <f t="array" ref="H68">INDEX(Settings!$B$3:$B$7, D68)</f>
        <v>7800000</v>
      </c>
      <c r="I68" s="5">
        <f t="shared" si="8"/>
        <v>244218000</v>
      </c>
      <c r="J68" s="5">
        <f>I68*Settings!$B$2</f>
        <v>48843600</v>
      </c>
      <c r="K68" s="5">
        <f t="shared" si="9"/>
        <v>195374400</v>
      </c>
      <c r="L68" s="3" t="s">
        <v>27</v>
      </c>
      <c r="M68" s="6" t="s">
        <v>109</v>
      </c>
      <c r="N68" s="6"/>
      <c r="O68" s="6"/>
      <c r="P68" s="6"/>
      <c r="Q68" s="7"/>
      <c r="R68" s="6"/>
      <c r="S68" s="6"/>
      <c r="T68" s="7">
        <v>46050</v>
      </c>
      <c r="U68" s="3" t="str">
        <f t="shared" si="10"/>
        <v>dd/67</v>
      </c>
      <c r="V68" s="8" t="str">
        <f t="shared" si="11"/>
        <v>4-67</v>
      </c>
      <c r="Y68" s="9"/>
      <c r="Z68" s="9"/>
    </row>
    <row r="69" spans="1:26" ht="14.4" x14ac:dyDescent="0.3">
      <c r="A69" s="3">
        <v>68</v>
      </c>
      <c r="B69" s="3">
        <v>1</v>
      </c>
      <c r="C69" s="3">
        <v>4</v>
      </c>
      <c r="D69" s="3">
        <v>2</v>
      </c>
      <c r="E69" s="3">
        <v>68</v>
      </c>
      <c r="F69" s="3" t="s">
        <v>29</v>
      </c>
      <c r="G69" s="4">
        <v>29.04</v>
      </c>
      <c r="H69" s="5">
        <f t="array" ref="H69">INDEX(Settings!$B$3:$B$7, D69)</f>
        <v>7800000</v>
      </c>
      <c r="I69" s="5">
        <f t="shared" si="8"/>
        <v>226512000</v>
      </c>
      <c r="J69" s="5">
        <f>I69*Settings!$B$2</f>
        <v>45302400</v>
      </c>
      <c r="K69" s="5">
        <f t="shared" si="9"/>
        <v>181209600</v>
      </c>
      <c r="L69" s="3" t="s">
        <v>27</v>
      </c>
      <c r="M69" s="6" t="s">
        <v>110</v>
      </c>
      <c r="N69" s="6"/>
      <c r="O69" s="6"/>
      <c r="P69" s="6"/>
      <c r="Q69" s="7"/>
      <c r="R69" s="6"/>
      <c r="S69" s="6"/>
      <c r="T69" s="7">
        <v>46071</v>
      </c>
      <c r="U69" s="3" t="str">
        <f t="shared" si="10"/>
        <v>dd/68</v>
      </c>
      <c r="V69" s="8" t="str">
        <f t="shared" si="11"/>
        <v>4-68</v>
      </c>
      <c r="Y69" s="9"/>
      <c r="Z69" s="9"/>
    </row>
    <row r="70" spans="1:26" ht="14.4" x14ac:dyDescent="0.3">
      <c r="A70" s="3">
        <v>69</v>
      </c>
      <c r="B70" s="3">
        <v>1</v>
      </c>
      <c r="C70" s="3">
        <v>4</v>
      </c>
      <c r="D70" s="3">
        <v>3</v>
      </c>
      <c r="E70" s="3">
        <v>69</v>
      </c>
      <c r="F70" s="3" t="s">
        <v>26</v>
      </c>
      <c r="G70" s="4">
        <v>48.15</v>
      </c>
      <c r="H70" s="5">
        <f t="array" ref="H70">INDEX(Settings!$B$3:$B$7, D70)</f>
        <v>7300000</v>
      </c>
      <c r="I70" s="5">
        <f t="shared" si="8"/>
        <v>351495000</v>
      </c>
      <c r="J70" s="5">
        <f>I70*Settings!$B$2</f>
        <v>70299000</v>
      </c>
      <c r="K70" s="5">
        <f t="shared" si="9"/>
        <v>281196000</v>
      </c>
      <c r="L70" s="3" t="s">
        <v>27</v>
      </c>
      <c r="M70" s="6" t="s">
        <v>111</v>
      </c>
      <c r="N70" s="6"/>
      <c r="O70" s="6"/>
      <c r="P70" s="6"/>
      <c r="Q70" s="7"/>
      <c r="R70" s="6"/>
      <c r="S70" s="6"/>
      <c r="T70" s="7">
        <v>46016</v>
      </c>
      <c r="U70" s="3" t="str">
        <f t="shared" si="10"/>
        <v>dd/69</v>
      </c>
      <c r="V70" s="8" t="str">
        <f t="shared" si="11"/>
        <v>4-69</v>
      </c>
      <c r="Y70" s="9"/>
      <c r="Z70" s="9"/>
    </row>
    <row r="71" spans="1:26" ht="14.4" x14ac:dyDescent="0.3">
      <c r="A71" s="3">
        <v>70</v>
      </c>
      <c r="B71" s="3">
        <v>1</v>
      </c>
      <c r="C71" s="3">
        <v>4</v>
      </c>
      <c r="D71" s="3">
        <v>3</v>
      </c>
      <c r="E71" s="3">
        <v>70</v>
      </c>
      <c r="F71" s="3" t="s">
        <v>29</v>
      </c>
      <c r="G71" s="4">
        <v>28.52</v>
      </c>
      <c r="H71" s="5">
        <f t="array" ref="H71">INDEX(Settings!$B$3:$B$7, D71)</f>
        <v>7300000</v>
      </c>
      <c r="I71" s="5">
        <f t="shared" si="8"/>
        <v>208196000</v>
      </c>
      <c r="J71" s="5">
        <f>I71*Settings!$B$2</f>
        <v>41639200</v>
      </c>
      <c r="K71" s="5">
        <f t="shared" si="9"/>
        <v>166556800</v>
      </c>
      <c r="L71" s="3" t="s">
        <v>27</v>
      </c>
      <c r="M71" s="6" t="s">
        <v>112</v>
      </c>
      <c r="N71" s="6"/>
      <c r="O71" s="6"/>
      <c r="P71" s="6"/>
      <c r="Q71" s="7"/>
      <c r="R71" s="6"/>
      <c r="S71" s="6"/>
      <c r="T71" s="7">
        <v>46035</v>
      </c>
      <c r="U71" s="3" t="str">
        <f t="shared" si="10"/>
        <v>dd/70</v>
      </c>
      <c r="V71" s="8" t="str">
        <f t="shared" si="11"/>
        <v>4-70</v>
      </c>
      <c r="Y71" s="9"/>
      <c r="Z71" s="9"/>
    </row>
    <row r="72" spans="1:26" ht="14.4" x14ac:dyDescent="0.3">
      <c r="A72" s="3">
        <v>71</v>
      </c>
      <c r="B72" s="3">
        <v>1</v>
      </c>
      <c r="C72" s="3">
        <v>4</v>
      </c>
      <c r="D72" s="3">
        <v>3</v>
      </c>
      <c r="E72" s="3">
        <v>71</v>
      </c>
      <c r="F72" s="3" t="s">
        <v>29</v>
      </c>
      <c r="G72" s="4">
        <v>31.31</v>
      </c>
      <c r="H72" s="5">
        <f t="array" ref="H72">INDEX(Settings!$B$3:$B$7, D72)</f>
        <v>7300000</v>
      </c>
      <c r="I72" s="5">
        <f t="shared" si="8"/>
        <v>228563000</v>
      </c>
      <c r="J72" s="5">
        <f>I72*Settings!$B$2</f>
        <v>45712600</v>
      </c>
      <c r="K72" s="5">
        <f t="shared" si="9"/>
        <v>182850400</v>
      </c>
      <c r="L72" s="3" t="s">
        <v>27</v>
      </c>
      <c r="M72" s="6" t="s">
        <v>113</v>
      </c>
      <c r="N72" s="6"/>
      <c r="O72" s="6"/>
      <c r="P72" s="6"/>
      <c r="Q72" s="7"/>
      <c r="R72" s="6"/>
      <c r="S72" s="6"/>
      <c r="T72" s="7">
        <v>46006</v>
      </c>
      <c r="U72" s="3" t="str">
        <f t="shared" si="10"/>
        <v>dd/71</v>
      </c>
      <c r="V72" s="8" t="str">
        <f t="shared" si="11"/>
        <v>4-71</v>
      </c>
      <c r="Y72" s="9"/>
      <c r="Z72" s="9"/>
    </row>
    <row r="73" spans="1:26" ht="14.4" x14ac:dyDescent="0.3">
      <c r="A73" s="3">
        <v>72</v>
      </c>
      <c r="B73" s="3">
        <v>1</v>
      </c>
      <c r="C73" s="3">
        <v>4</v>
      </c>
      <c r="D73" s="3">
        <v>3</v>
      </c>
      <c r="E73" s="3">
        <v>72</v>
      </c>
      <c r="F73" s="3" t="s">
        <v>29</v>
      </c>
      <c r="G73" s="4">
        <v>29.04</v>
      </c>
      <c r="H73" s="5">
        <f t="array" ref="H73">INDEX(Settings!$B$3:$B$7, D73)</f>
        <v>7300000</v>
      </c>
      <c r="I73" s="5">
        <f t="shared" si="8"/>
        <v>211992000</v>
      </c>
      <c r="J73" s="5">
        <f>I73*Settings!$B$2</f>
        <v>42398400</v>
      </c>
      <c r="K73" s="5">
        <f t="shared" si="9"/>
        <v>169593600</v>
      </c>
      <c r="L73" s="3" t="s">
        <v>27</v>
      </c>
      <c r="M73" s="6" t="s">
        <v>114</v>
      </c>
      <c r="N73" s="6"/>
      <c r="O73" s="6"/>
      <c r="P73" s="6"/>
      <c r="Q73" s="7"/>
      <c r="R73" s="6"/>
      <c r="S73" s="6"/>
      <c r="T73" s="7">
        <v>46006</v>
      </c>
      <c r="U73" s="3" t="str">
        <f t="shared" si="10"/>
        <v>dd/72</v>
      </c>
      <c r="V73" s="8" t="str">
        <f t="shared" si="11"/>
        <v>4-72</v>
      </c>
      <c r="Y73" s="9"/>
      <c r="Z73" s="9"/>
    </row>
    <row r="74" spans="1:26" ht="14.4" x14ac:dyDescent="0.3">
      <c r="A74" s="3">
        <v>73</v>
      </c>
      <c r="B74" s="3">
        <v>1</v>
      </c>
      <c r="C74" s="3">
        <v>4</v>
      </c>
      <c r="D74" s="3">
        <v>4</v>
      </c>
      <c r="E74" s="3">
        <v>73</v>
      </c>
      <c r="F74" s="3" t="s">
        <v>26</v>
      </c>
      <c r="G74" s="4">
        <v>48.15</v>
      </c>
      <c r="H74" s="5">
        <f t="array" ref="H74">INDEX(Settings!$B$3:$B$7, D74)</f>
        <v>7000000</v>
      </c>
      <c r="I74" s="5">
        <f t="shared" si="8"/>
        <v>337050000</v>
      </c>
      <c r="J74" s="5">
        <f>I74*Settings!$B$2</f>
        <v>67410000</v>
      </c>
      <c r="K74" s="5">
        <f t="shared" si="9"/>
        <v>269640000</v>
      </c>
      <c r="L74" s="3" t="s">
        <v>27</v>
      </c>
      <c r="M74" s="6" t="s">
        <v>115</v>
      </c>
      <c r="N74" s="6"/>
      <c r="O74" s="6"/>
      <c r="P74" s="6"/>
      <c r="Q74" s="7"/>
      <c r="R74" s="6"/>
      <c r="S74" s="6"/>
      <c r="T74" s="7">
        <v>45953</v>
      </c>
      <c r="U74" s="3" t="str">
        <f t="shared" si="10"/>
        <v>dd/73</v>
      </c>
      <c r="V74" s="8" t="str">
        <f t="shared" si="11"/>
        <v>4-73</v>
      </c>
      <c r="Y74" s="9"/>
      <c r="Z74" s="9"/>
    </row>
    <row r="75" spans="1:26" ht="14.4" x14ac:dyDescent="0.3">
      <c r="A75" s="3">
        <v>74</v>
      </c>
      <c r="B75" s="3">
        <v>1</v>
      </c>
      <c r="C75" s="3">
        <v>4</v>
      </c>
      <c r="D75" s="3">
        <v>4</v>
      </c>
      <c r="E75" s="3">
        <v>74</v>
      </c>
      <c r="F75" s="3" t="s">
        <v>29</v>
      </c>
      <c r="G75" s="4">
        <v>28.52</v>
      </c>
      <c r="H75" s="5">
        <f t="array" ref="H75">INDEX(Settings!$B$3:$B$7, D75)</f>
        <v>7000000</v>
      </c>
      <c r="I75" s="5">
        <f t="shared" si="8"/>
        <v>199640000</v>
      </c>
      <c r="J75" s="5">
        <f>I75*Settings!$B$2</f>
        <v>39928000</v>
      </c>
      <c r="K75" s="5">
        <f t="shared" si="9"/>
        <v>159712000</v>
      </c>
      <c r="L75" s="3" t="s">
        <v>27</v>
      </c>
      <c r="M75" s="6" t="s">
        <v>116</v>
      </c>
      <c r="N75" s="6"/>
      <c r="O75" s="6"/>
      <c r="P75" s="6"/>
      <c r="Q75" s="7"/>
      <c r="R75" s="6"/>
      <c r="S75" s="6"/>
      <c r="T75" s="7">
        <v>45964</v>
      </c>
      <c r="U75" s="3" t="str">
        <f t="shared" si="10"/>
        <v>dd/74</v>
      </c>
      <c r="V75" s="8" t="str">
        <f t="shared" si="11"/>
        <v>4-74</v>
      </c>
      <c r="Y75" s="9"/>
      <c r="Z75" s="9"/>
    </row>
    <row r="76" spans="1:26" ht="14.4" x14ac:dyDescent="0.3">
      <c r="A76" s="3">
        <v>75</v>
      </c>
      <c r="B76" s="3">
        <v>1</v>
      </c>
      <c r="C76" s="3">
        <v>4</v>
      </c>
      <c r="D76" s="3">
        <v>4</v>
      </c>
      <c r="E76" s="3">
        <v>75</v>
      </c>
      <c r="F76" s="3" t="s">
        <v>29</v>
      </c>
      <c r="G76" s="4">
        <v>31.31</v>
      </c>
      <c r="H76" s="5">
        <f t="array" ref="H76">INDEX(Settings!$B$3:$B$7, D76)</f>
        <v>7000000</v>
      </c>
      <c r="I76" s="5">
        <f t="shared" si="8"/>
        <v>219170000</v>
      </c>
      <c r="J76" s="5">
        <f>I76*Settings!$B$2</f>
        <v>43834000</v>
      </c>
      <c r="K76" s="5">
        <f t="shared" si="9"/>
        <v>175336000</v>
      </c>
      <c r="L76" s="3" t="s">
        <v>27</v>
      </c>
      <c r="M76" s="6" t="s">
        <v>117</v>
      </c>
      <c r="N76" s="6"/>
      <c r="O76" s="6"/>
      <c r="P76" s="6"/>
      <c r="Q76" s="7"/>
      <c r="R76" s="6"/>
      <c r="S76" s="6"/>
      <c r="T76" s="7">
        <v>45973</v>
      </c>
      <c r="U76" s="3" t="str">
        <f t="shared" si="10"/>
        <v>dd/75</v>
      </c>
      <c r="V76" s="8" t="str">
        <f t="shared" si="11"/>
        <v>4-75</v>
      </c>
      <c r="Y76" s="9"/>
      <c r="Z76" s="9"/>
    </row>
    <row r="77" spans="1:26" ht="14.4" x14ac:dyDescent="0.3">
      <c r="A77" s="3">
        <v>76</v>
      </c>
      <c r="B77" s="3">
        <v>1</v>
      </c>
      <c r="C77" s="3">
        <v>4</v>
      </c>
      <c r="D77" s="3">
        <v>4</v>
      </c>
      <c r="E77" s="3">
        <v>76</v>
      </c>
      <c r="F77" s="3" t="s">
        <v>29</v>
      </c>
      <c r="G77" s="4">
        <v>29.04</v>
      </c>
      <c r="H77" s="5">
        <f t="array" ref="H77">INDEX(Settings!$B$3:$B$7, D77)</f>
        <v>7000000</v>
      </c>
      <c r="I77" s="5">
        <f t="shared" si="8"/>
        <v>203280000</v>
      </c>
      <c r="J77" s="5">
        <f>I77*Settings!$B$2</f>
        <v>40656000</v>
      </c>
      <c r="K77" s="5">
        <f t="shared" si="9"/>
        <v>162624000</v>
      </c>
      <c r="L77" s="3" t="s">
        <v>27</v>
      </c>
      <c r="M77" s="6" t="s">
        <v>118</v>
      </c>
      <c r="N77" s="6"/>
      <c r="O77" s="6"/>
      <c r="P77" s="6"/>
      <c r="Q77" s="7"/>
      <c r="R77" s="6"/>
      <c r="S77" s="6"/>
      <c r="T77" s="7">
        <v>45952</v>
      </c>
      <c r="U77" s="3" t="str">
        <f t="shared" si="10"/>
        <v>dd/76</v>
      </c>
      <c r="V77" s="8" t="str">
        <f t="shared" si="11"/>
        <v>4-76</v>
      </c>
      <c r="Y77" s="9"/>
      <c r="Z77" s="9"/>
    </row>
    <row r="78" spans="1:26" ht="14.4" x14ac:dyDescent="0.3">
      <c r="A78" s="3">
        <v>77</v>
      </c>
      <c r="B78" s="3">
        <v>1</v>
      </c>
      <c r="C78" s="3">
        <v>4</v>
      </c>
      <c r="D78" s="3">
        <v>5</v>
      </c>
      <c r="E78" s="3">
        <v>77</v>
      </c>
      <c r="F78" s="3" t="s">
        <v>26</v>
      </c>
      <c r="G78" s="4">
        <v>48.15</v>
      </c>
      <c r="H78" s="5">
        <f t="array" ref="H78">INDEX(Settings!$B$3:$B$7, D78)</f>
        <v>6700000</v>
      </c>
      <c r="I78" s="5">
        <f t="shared" si="8"/>
        <v>322605000</v>
      </c>
      <c r="J78" s="5">
        <f>I78*Settings!$B$2</f>
        <v>64521000</v>
      </c>
      <c r="K78" s="5">
        <f t="shared" si="9"/>
        <v>258084000</v>
      </c>
      <c r="L78" s="3" t="s">
        <v>27</v>
      </c>
      <c r="M78" s="6" t="s">
        <v>119</v>
      </c>
      <c r="N78" s="6"/>
      <c r="O78" s="6"/>
      <c r="P78" s="6"/>
      <c r="Q78" s="7"/>
      <c r="R78" s="6"/>
      <c r="S78" s="6"/>
      <c r="T78" s="7">
        <v>45959</v>
      </c>
      <c r="U78" s="3" t="str">
        <f t="shared" si="10"/>
        <v>dd/77</v>
      </c>
      <c r="V78" s="8" t="str">
        <f t="shared" si="11"/>
        <v>4-77</v>
      </c>
      <c r="Y78" s="9"/>
      <c r="Z78" s="9"/>
    </row>
    <row r="79" spans="1:26" ht="14.4" x14ac:dyDescent="0.3">
      <c r="A79" s="3">
        <v>78</v>
      </c>
      <c r="B79" s="3">
        <v>1</v>
      </c>
      <c r="C79" s="3">
        <v>4</v>
      </c>
      <c r="D79" s="3">
        <v>5</v>
      </c>
      <c r="E79" s="3">
        <v>78</v>
      </c>
      <c r="F79" s="3" t="s">
        <v>29</v>
      </c>
      <c r="G79" s="4">
        <v>28.52</v>
      </c>
      <c r="H79" s="5">
        <f t="array" ref="H79">INDEX(Settings!$B$3:$B$7, D79)</f>
        <v>6700000</v>
      </c>
      <c r="I79" s="5">
        <f t="shared" si="8"/>
        <v>191084000</v>
      </c>
      <c r="J79" s="5">
        <f>I79*Settings!$B$2</f>
        <v>38216800</v>
      </c>
      <c r="K79" s="5">
        <f t="shared" si="9"/>
        <v>152867200</v>
      </c>
      <c r="L79" s="3" t="s">
        <v>27</v>
      </c>
      <c r="M79" s="6" t="s">
        <v>120</v>
      </c>
      <c r="N79" s="6"/>
      <c r="O79" s="6"/>
      <c r="P79" s="6"/>
      <c r="Q79" s="7"/>
      <c r="R79" s="6"/>
      <c r="S79" s="6"/>
      <c r="T79" s="7">
        <v>45943</v>
      </c>
      <c r="U79" s="3" t="str">
        <f t="shared" si="10"/>
        <v>dd/78</v>
      </c>
      <c r="V79" s="8" t="str">
        <f t="shared" si="11"/>
        <v>4-78</v>
      </c>
      <c r="Y79" s="9"/>
      <c r="Z79" s="9"/>
    </row>
    <row r="80" spans="1:26" ht="14.4" x14ac:dyDescent="0.3">
      <c r="A80" s="3">
        <v>79</v>
      </c>
      <c r="B80" s="3">
        <v>1</v>
      </c>
      <c r="C80" s="3">
        <v>4</v>
      </c>
      <c r="D80" s="3">
        <v>5</v>
      </c>
      <c r="E80" s="3">
        <v>79</v>
      </c>
      <c r="F80" s="3" t="s">
        <v>29</v>
      </c>
      <c r="G80" s="4">
        <v>31.31</v>
      </c>
      <c r="H80" s="5">
        <f t="array" ref="H80">INDEX(Settings!$B$3:$B$7, D80)</f>
        <v>6700000</v>
      </c>
      <c r="I80" s="5">
        <f t="shared" si="8"/>
        <v>209777000</v>
      </c>
      <c r="J80" s="5">
        <f>I80*Settings!$B$2</f>
        <v>41955400</v>
      </c>
      <c r="K80" s="5">
        <f t="shared" si="9"/>
        <v>167821600</v>
      </c>
      <c r="L80" s="3" t="s">
        <v>27</v>
      </c>
      <c r="M80" s="6" t="s">
        <v>121</v>
      </c>
      <c r="N80" s="6"/>
      <c r="O80" s="6"/>
      <c r="P80" s="6"/>
      <c r="Q80" s="7"/>
      <c r="R80" s="6"/>
      <c r="S80" s="6"/>
      <c r="T80" s="7">
        <v>45967</v>
      </c>
      <c r="U80" s="3" t="str">
        <f t="shared" si="10"/>
        <v>dd/79</v>
      </c>
      <c r="V80" s="8" t="str">
        <f t="shared" si="11"/>
        <v>4-79</v>
      </c>
      <c r="Y80" s="9"/>
      <c r="Z80" s="9"/>
    </row>
    <row r="81" spans="1:26" ht="14.4" x14ac:dyDescent="0.3">
      <c r="A81" s="11">
        <v>80</v>
      </c>
      <c r="B81" s="11">
        <v>1</v>
      </c>
      <c r="C81" s="11">
        <v>4</v>
      </c>
      <c r="D81" s="11">
        <v>5</v>
      </c>
      <c r="E81" s="11">
        <v>80</v>
      </c>
      <c r="F81" s="11" t="s">
        <v>29</v>
      </c>
      <c r="G81" s="12">
        <v>29.04</v>
      </c>
      <c r="H81" s="13">
        <f t="array" ref="H81">INDEX(Settings!$B$3:$B$7, D81)</f>
        <v>6700000</v>
      </c>
      <c r="I81" s="13">
        <f t="shared" si="8"/>
        <v>194568000</v>
      </c>
      <c r="J81" s="13">
        <f>I81*Settings!$B$2</f>
        <v>38913600</v>
      </c>
      <c r="K81" s="13">
        <f t="shared" si="9"/>
        <v>155654400</v>
      </c>
      <c r="L81" s="11" t="s">
        <v>27</v>
      </c>
      <c r="M81" s="14" t="s">
        <v>122</v>
      </c>
      <c r="N81" s="14"/>
      <c r="O81" s="14"/>
      <c r="P81" s="14"/>
      <c r="Q81" s="15"/>
      <c r="R81" s="14"/>
      <c r="S81" s="14"/>
      <c r="T81" s="15">
        <v>45967</v>
      </c>
      <c r="U81" s="11" t="str">
        <f t="shared" si="10"/>
        <v>dd/80</v>
      </c>
      <c r="V81" s="8" t="str">
        <f t="shared" si="11"/>
        <v>4-80</v>
      </c>
      <c r="Y81" s="9"/>
      <c r="Z81" s="9"/>
    </row>
    <row r="82" spans="1:26" ht="14.4" x14ac:dyDescent="0.3">
      <c r="A82" s="16">
        <v>81</v>
      </c>
      <c r="B82" s="17">
        <v>2</v>
      </c>
      <c r="C82" s="17">
        <v>1</v>
      </c>
      <c r="D82" s="17">
        <v>1</v>
      </c>
      <c r="E82" s="17">
        <v>1</v>
      </c>
      <c r="F82" s="17" t="s">
        <v>26</v>
      </c>
      <c r="G82" s="18">
        <v>49.35</v>
      </c>
      <c r="H82" s="19">
        <v>7700000</v>
      </c>
      <c r="I82" s="19">
        <v>379995000</v>
      </c>
      <c r="J82" s="19">
        <v>75999000</v>
      </c>
      <c r="K82" s="19">
        <v>303996000</v>
      </c>
      <c r="L82" s="17" t="s">
        <v>27</v>
      </c>
      <c r="M82" s="20" t="s">
        <v>123</v>
      </c>
      <c r="N82" s="20" t="s">
        <v>124</v>
      </c>
      <c r="O82" s="20" t="s">
        <v>125</v>
      </c>
      <c r="P82" s="20" t="s">
        <v>126</v>
      </c>
      <c r="Q82" s="21">
        <v>43211</v>
      </c>
      <c r="R82" s="20">
        <v>973183311</v>
      </c>
      <c r="S82" s="20">
        <v>951123311</v>
      </c>
      <c r="T82" s="21">
        <v>46132</v>
      </c>
      <c r="U82" s="22">
        <v>46052</v>
      </c>
      <c r="V82" s="23">
        <v>46023</v>
      </c>
      <c r="W82" s="10" t="s">
        <v>42</v>
      </c>
      <c r="Y82" s="9"/>
      <c r="Z82" s="9"/>
    </row>
    <row r="83" spans="1:26" ht="14.4" x14ac:dyDescent="0.3">
      <c r="A83" s="24">
        <v>82</v>
      </c>
      <c r="B83" s="24">
        <v>2</v>
      </c>
      <c r="C83" s="24">
        <v>1</v>
      </c>
      <c r="D83" s="24">
        <v>1</v>
      </c>
      <c r="E83" s="24">
        <v>2</v>
      </c>
      <c r="F83" s="24" t="s">
        <v>26</v>
      </c>
      <c r="G83" s="25">
        <v>46.16</v>
      </c>
      <c r="H83" s="26">
        <v>7700000</v>
      </c>
      <c r="I83" s="26">
        <v>355432000</v>
      </c>
      <c r="J83" s="26">
        <v>71086400</v>
      </c>
      <c r="K83" s="26">
        <v>284345600</v>
      </c>
      <c r="L83" s="24" t="s">
        <v>127</v>
      </c>
      <c r="M83" s="27" t="s">
        <v>128</v>
      </c>
      <c r="N83" s="27"/>
      <c r="O83" s="27"/>
      <c r="P83" s="27"/>
      <c r="Q83" s="28"/>
      <c r="R83" s="27">
        <v>97198515</v>
      </c>
      <c r="S83" s="27"/>
      <c r="T83" s="28">
        <v>46190</v>
      </c>
      <c r="U83" s="24" t="s">
        <v>129</v>
      </c>
      <c r="V83" s="29">
        <v>46054</v>
      </c>
      <c r="W83" s="10" t="s">
        <v>42</v>
      </c>
      <c r="Y83" s="9" t="s">
        <v>130</v>
      </c>
      <c r="Z83" s="9"/>
    </row>
    <row r="84" spans="1:26" ht="14.4" x14ac:dyDescent="0.3">
      <c r="A84" s="16">
        <v>83</v>
      </c>
      <c r="B84" s="17">
        <v>2</v>
      </c>
      <c r="C84" s="17">
        <v>1</v>
      </c>
      <c r="D84" s="17">
        <v>1</v>
      </c>
      <c r="E84" s="17">
        <v>3</v>
      </c>
      <c r="F84" s="17" t="s">
        <v>26</v>
      </c>
      <c r="G84" s="18">
        <v>49.35</v>
      </c>
      <c r="H84" s="19">
        <f t="array" ref="H84">INDEX(Settings!$B$3:$B$7, D84)</f>
        <v>7700000</v>
      </c>
      <c r="I84" s="19">
        <f>G84*H84</f>
        <v>379995000</v>
      </c>
      <c r="J84" s="19">
        <f>I84*Settings!$B$2</f>
        <v>75999000</v>
      </c>
      <c r="K84" s="19">
        <f t="shared" ref="K84:K85" si="12">I84-J84</f>
        <v>303996000</v>
      </c>
      <c r="L84" s="17" t="s">
        <v>27</v>
      </c>
      <c r="M84" s="20" t="s">
        <v>131</v>
      </c>
      <c r="N84" s="20"/>
      <c r="O84" s="20"/>
      <c r="P84" s="20"/>
      <c r="Q84" s="21"/>
      <c r="R84" s="20"/>
      <c r="S84" s="20"/>
      <c r="T84" s="21"/>
      <c r="U84" s="30" t="str">
        <f t="shared" ref="U84:U85" si="13">TEXT(T84,"dd")&amp;"/"&amp;TEXT(E84,"00")</f>
        <v>dd/03</v>
      </c>
      <c r="V84" s="31" t="str">
        <f t="shared" ref="V84:V85" si="14">C84&amp;"-"&amp;E84</f>
        <v>1-3</v>
      </c>
      <c r="Y84" s="9"/>
      <c r="Z84" s="9"/>
    </row>
    <row r="85" spans="1:26" ht="14.4" x14ac:dyDescent="0.3">
      <c r="A85" s="24">
        <v>84</v>
      </c>
      <c r="B85" s="24">
        <v>2</v>
      </c>
      <c r="C85" s="24">
        <v>1</v>
      </c>
      <c r="D85" s="24">
        <v>2</v>
      </c>
      <c r="E85" s="24">
        <v>4</v>
      </c>
      <c r="F85" s="24" t="s">
        <v>26</v>
      </c>
      <c r="G85" s="25">
        <v>49.35</v>
      </c>
      <c r="H85" s="26">
        <v>7800000</v>
      </c>
      <c r="I85" s="26">
        <v>384930000</v>
      </c>
      <c r="J85" s="26">
        <f>I85*Settings!$B$2</f>
        <v>76986000</v>
      </c>
      <c r="K85" s="26">
        <f t="shared" si="12"/>
        <v>307944000</v>
      </c>
      <c r="L85" s="24" t="s">
        <v>27</v>
      </c>
      <c r="M85" s="27" t="s">
        <v>132</v>
      </c>
      <c r="N85" s="27"/>
      <c r="O85" s="27"/>
      <c r="P85" s="27"/>
      <c r="Q85" s="28"/>
      <c r="R85" s="27"/>
      <c r="S85" s="27"/>
      <c r="T85" s="28"/>
      <c r="U85" s="24" t="str">
        <f t="shared" si="13"/>
        <v>dd/04</v>
      </c>
      <c r="V85" s="8" t="str">
        <f t="shared" si="14"/>
        <v>1-4</v>
      </c>
      <c r="Y85" s="9"/>
      <c r="Z85" s="9"/>
    </row>
    <row r="86" spans="1:26" ht="14.4" x14ac:dyDescent="0.3">
      <c r="A86" s="16">
        <v>85</v>
      </c>
      <c r="B86" s="17">
        <v>2</v>
      </c>
      <c r="C86" s="17">
        <v>1</v>
      </c>
      <c r="D86" s="17">
        <v>2</v>
      </c>
      <c r="E86" s="17">
        <v>5</v>
      </c>
      <c r="F86" s="17" t="s">
        <v>26</v>
      </c>
      <c r="G86" s="18">
        <v>46.16</v>
      </c>
      <c r="H86" s="19">
        <v>7800000</v>
      </c>
      <c r="I86" s="19">
        <v>360048000</v>
      </c>
      <c r="J86" s="19">
        <v>72009600</v>
      </c>
      <c r="K86" s="19">
        <v>288038400</v>
      </c>
      <c r="L86" s="17" t="s">
        <v>27</v>
      </c>
      <c r="M86" s="20" t="s">
        <v>133</v>
      </c>
      <c r="N86" s="20"/>
      <c r="O86" s="20"/>
      <c r="P86" s="20"/>
      <c r="Q86" s="21"/>
      <c r="R86" s="20">
        <v>976343802</v>
      </c>
      <c r="S86" s="20"/>
      <c r="T86" s="21"/>
      <c r="U86" s="22">
        <v>46172</v>
      </c>
      <c r="V86" s="23">
        <v>46143</v>
      </c>
      <c r="W86" s="10" t="s">
        <v>42</v>
      </c>
      <c r="Y86" s="9" t="s">
        <v>134</v>
      </c>
      <c r="Z86" s="9"/>
    </row>
    <row r="87" spans="1:26" ht="14.4" x14ac:dyDescent="0.3">
      <c r="A87" s="24">
        <v>86</v>
      </c>
      <c r="B87" s="24">
        <v>2</v>
      </c>
      <c r="C87" s="24">
        <v>1</v>
      </c>
      <c r="D87" s="24">
        <v>2</v>
      </c>
      <c r="E87" s="24">
        <v>6</v>
      </c>
      <c r="F87" s="24" t="s">
        <v>26</v>
      </c>
      <c r="G87" s="25">
        <v>49.35</v>
      </c>
      <c r="H87" s="26">
        <f t="array" ref="H87">INDEX(Settings!$B$3:$B$7, D87)</f>
        <v>7800000</v>
      </c>
      <c r="I87" s="26">
        <f t="shared" ref="I87:I93" si="15">G87*H87</f>
        <v>384930000</v>
      </c>
      <c r="J87" s="26">
        <f>I87*Settings!$B$2</f>
        <v>76986000</v>
      </c>
      <c r="K87" s="26">
        <f t="shared" ref="K87:K93" si="16">I87-J87</f>
        <v>307944000</v>
      </c>
      <c r="L87" s="24" t="s">
        <v>27</v>
      </c>
      <c r="M87" s="27" t="s">
        <v>135</v>
      </c>
      <c r="N87" s="27"/>
      <c r="O87" s="27"/>
      <c r="P87" s="27"/>
      <c r="Q87" s="28"/>
      <c r="R87" s="27"/>
      <c r="S87" s="27"/>
      <c r="T87" s="28"/>
      <c r="U87" s="24" t="str">
        <f t="shared" ref="U87:U93" si="17">TEXT(T87,"dd")&amp;"/"&amp;TEXT(E87,"00")</f>
        <v>dd/06</v>
      </c>
      <c r="V87" s="8" t="str">
        <f t="shared" ref="V87:V93" si="18">C87&amp;"-"&amp;E87</f>
        <v>1-6</v>
      </c>
      <c r="Y87" s="9"/>
      <c r="Z87" s="9"/>
    </row>
    <row r="88" spans="1:26" ht="14.4" x14ac:dyDescent="0.3">
      <c r="A88" s="16">
        <v>87</v>
      </c>
      <c r="B88" s="17">
        <v>2</v>
      </c>
      <c r="C88" s="17">
        <v>1</v>
      </c>
      <c r="D88" s="17">
        <v>3</v>
      </c>
      <c r="E88" s="17">
        <v>7</v>
      </c>
      <c r="F88" s="17" t="s">
        <v>26</v>
      </c>
      <c r="G88" s="18">
        <v>49.35</v>
      </c>
      <c r="H88" s="19">
        <f t="array" ref="H88">INDEX(Settings!$B$3:$B$7, D88)</f>
        <v>7300000</v>
      </c>
      <c r="I88" s="19">
        <f t="shared" si="15"/>
        <v>360255000</v>
      </c>
      <c r="J88" s="19">
        <f>I88*Settings!$B$2</f>
        <v>72051000</v>
      </c>
      <c r="K88" s="19">
        <f t="shared" si="16"/>
        <v>288204000</v>
      </c>
      <c r="L88" s="17" t="s">
        <v>27</v>
      </c>
      <c r="M88" s="20" t="s">
        <v>136</v>
      </c>
      <c r="N88" s="20"/>
      <c r="O88" s="20"/>
      <c r="P88" s="20"/>
      <c r="Q88" s="21"/>
      <c r="R88" s="20"/>
      <c r="S88" s="20"/>
      <c r="T88" s="21"/>
      <c r="U88" s="30" t="str">
        <f t="shared" si="17"/>
        <v>dd/07</v>
      </c>
      <c r="V88" s="31" t="str">
        <f t="shared" si="18"/>
        <v>1-7</v>
      </c>
      <c r="Y88" s="9"/>
      <c r="Z88" s="9"/>
    </row>
    <row r="89" spans="1:26" ht="14.4" x14ac:dyDescent="0.3">
      <c r="A89" s="24">
        <v>88</v>
      </c>
      <c r="B89" s="24">
        <v>2</v>
      </c>
      <c r="C89" s="24">
        <v>1</v>
      </c>
      <c r="D89" s="24">
        <v>3</v>
      </c>
      <c r="E89" s="24">
        <v>8</v>
      </c>
      <c r="F89" s="24" t="s">
        <v>26</v>
      </c>
      <c r="G89" s="25">
        <v>46.16</v>
      </c>
      <c r="H89" s="26">
        <f t="array" ref="H89">INDEX(Settings!$B$3:$B$7, D89)</f>
        <v>7300000</v>
      </c>
      <c r="I89" s="26">
        <f t="shared" si="15"/>
        <v>336968000</v>
      </c>
      <c r="J89" s="26">
        <f>I89*Settings!$B$2</f>
        <v>67393600</v>
      </c>
      <c r="K89" s="26">
        <f t="shared" si="16"/>
        <v>269574400</v>
      </c>
      <c r="L89" s="24" t="s">
        <v>27</v>
      </c>
      <c r="M89" s="27" t="s">
        <v>137</v>
      </c>
      <c r="N89" s="27" t="s">
        <v>138</v>
      </c>
      <c r="O89" s="27" t="s">
        <v>139</v>
      </c>
      <c r="P89" s="27" t="s">
        <v>140</v>
      </c>
      <c r="Q89" s="28">
        <v>42924</v>
      </c>
      <c r="R89" s="27">
        <v>882087222</v>
      </c>
      <c r="S89" s="27">
        <v>887605002</v>
      </c>
      <c r="T89" s="28">
        <v>46104</v>
      </c>
      <c r="U89" s="24" t="str">
        <f t="shared" si="17"/>
        <v>dd/08</v>
      </c>
      <c r="V89" s="8" t="str">
        <f t="shared" si="18"/>
        <v>1-8</v>
      </c>
      <c r="Y89" s="9"/>
      <c r="Z89" s="9"/>
    </row>
    <row r="90" spans="1:26" ht="14.4" x14ac:dyDescent="0.3">
      <c r="A90" s="16">
        <v>89</v>
      </c>
      <c r="B90" s="17">
        <v>2</v>
      </c>
      <c r="C90" s="17">
        <v>1</v>
      </c>
      <c r="D90" s="17">
        <v>3</v>
      </c>
      <c r="E90" s="17">
        <v>9</v>
      </c>
      <c r="F90" s="17" t="s">
        <v>26</v>
      </c>
      <c r="G90" s="18">
        <v>49.35</v>
      </c>
      <c r="H90" s="19">
        <f t="array" ref="H90">INDEX(Settings!$B$3:$B$7, D90)</f>
        <v>7300000</v>
      </c>
      <c r="I90" s="19">
        <f t="shared" si="15"/>
        <v>360255000</v>
      </c>
      <c r="J90" s="19">
        <f>I90*Settings!$B$2</f>
        <v>72051000</v>
      </c>
      <c r="K90" s="19">
        <f t="shared" si="16"/>
        <v>288204000</v>
      </c>
      <c r="L90" s="17" t="s">
        <v>27</v>
      </c>
      <c r="M90" s="20" t="s">
        <v>141</v>
      </c>
      <c r="N90" s="20" t="s">
        <v>142</v>
      </c>
      <c r="O90" s="20" t="s">
        <v>143</v>
      </c>
      <c r="P90" s="20" t="s">
        <v>144</v>
      </c>
      <c r="Q90" s="21">
        <v>43097</v>
      </c>
      <c r="R90" s="20"/>
      <c r="S90" s="20"/>
      <c r="T90" s="21">
        <v>46105</v>
      </c>
      <c r="U90" s="30" t="str">
        <f t="shared" si="17"/>
        <v>dd/09</v>
      </c>
      <c r="V90" s="31" t="str">
        <f t="shared" si="18"/>
        <v>1-9</v>
      </c>
      <c r="Y90" s="9"/>
      <c r="Z90" s="9"/>
    </row>
    <row r="91" spans="1:26" ht="14.4" x14ac:dyDescent="0.3">
      <c r="A91" s="24">
        <v>90</v>
      </c>
      <c r="B91" s="24">
        <v>2</v>
      </c>
      <c r="C91" s="24">
        <v>1</v>
      </c>
      <c r="D91" s="24">
        <v>4</v>
      </c>
      <c r="E91" s="24">
        <v>10</v>
      </c>
      <c r="F91" s="24" t="s">
        <v>26</v>
      </c>
      <c r="G91" s="25">
        <v>49.35</v>
      </c>
      <c r="H91" s="26">
        <f t="array" ref="H91">INDEX(Settings!$B$3:$B$7, D91)</f>
        <v>7000000</v>
      </c>
      <c r="I91" s="26">
        <f t="shared" si="15"/>
        <v>345450000</v>
      </c>
      <c r="J91" s="26">
        <f>I91*Settings!$B$2</f>
        <v>69090000</v>
      </c>
      <c r="K91" s="26">
        <f t="shared" si="16"/>
        <v>276360000</v>
      </c>
      <c r="L91" s="17" t="s">
        <v>27</v>
      </c>
      <c r="M91" s="27" t="s">
        <v>145</v>
      </c>
      <c r="N91" s="27"/>
      <c r="O91" s="27"/>
      <c r="P91" s="27"/>
      <c r="Q91" s="24"/>
      <c r="R91" s="27">
        <v>950488977</v>
      </c>
      <c r="S91" s="27"/>
      <c r="T91" s="28"/>
      <c r="U91" s="24" t="str">
        <f t="shared" si="17"/>
        <v>dd/10</v>
      </c>
      <c r="V91" s="8" t="str">
        <f t="shared" si="18"/>
        <v>1-10</v>
      </c>
      <c r="Y91" s="9"/>
      <c r="Z91" s="9"/>
    </row>
    <row r="92" spans="1:26" ht="14.4" x14ac:dyDescent="0.3">
      <c r="A92" s="16">
        <v>91</v>
      </c>
      <c r="B92" s="17">
        <v>2</v>
      </c>
      <c r="C92" s="17">
        <v>1</v>
      </c>
      <c r="D92" s="17">
        <v>4</v>
      </c>
      <c r="E92" s="17">
        <v>11</v>
      </c>
      <c r="F92" s="17" t="s">
        <v>26</v>
      </c>
      <c r="G92" s="18">
        <v>46.16</v>
      </c>
      <c r="H92" s="19">
        <f t="array" ref="H92">INDEX(Settings!$B$3:$B$7, D92)</f>
        <v>7000000</v>
      </c>
      <c r="I92" s="19">
        <f t="shared" si="15"/>
        <v>323120000</v>
      </c>
      <c r="J92" s="19">
        <f>I92*Settings!$B$2</f>
        <v>64624000</v>
      </c>
      <c r="K92" s="19">
        <f t="shared" si="16"/>
        <v>258496000</v>
      </c>
      <c r="L92" s="17" t="s">
        <v>27</v>
      </c>
      <c r="M92" s="20" t="s">
        <v>146</v>
      </c>
      <c r="N92" s="20"/>
      <c r="O92" s="20"/>
      <c r="P92" s="20"/>
      <c r="Q92" s="21"/>
      <c r="R92" s="20"/>
      <c r="S92" s="20"/>
      <c r="T92" s="21"/>
      <c r="U92" s="30" t="str">
        <f t="shared" si="17"/>
        <v>dd/11</v>
      </c>
      <c r="V92" s="31" t="str">
        <f t="shared" si="18"/>
        <v>1-11</v>
      </c>
      <c r="Y92" s="9"/>
      <c r="Z92" s="9"/>
    </row>
    <row r="93" spans="1:26" ht="14.4" x14ac:dyDescent="0.3">
      <c r="A93" s="24">
        <v>92</v>
      </c>
      <c r="B93" s="24">
        <v>2</v>
      </c>
      <c r="C93" s="24">
        <v>1</v>
      </c>
      <c r="D93" s="24">
        <v>4</v>
      </c>
      <c r="E93" s="24">
        <v>12</v>
      </c>
      <c r="F93" s="24" t="s">
        <v>26</v>
      </c>
      <c r="G93" s="25">
        <v>49.35</v>
      </c>
      <c r="H93" s="26">
        <f t="array" ref="H93">INDEX(Settings!$B$3:$B$7, D93)</f>
        <v>7000000</v>
      </c>
      <c r="I93" s="26">
        <f t="shared" si="15"/>
        <v>345450000</v>
      </c>
      <c r="J93" s="26">
        <f>I93*Settings!$B$2</f>
        <v>69090000</v>
      </c>
      <c r="K93" s="26">
        <f t="shared" si="16"/>
        <v>276360000</v>
      </c>
      <c r="L93" s="24" t="s">
        <v>27</v>
      </c>
      <c r="M93" s="27" t="s">
        <v>147</v>
      </c>
      <c r="N93" s="27"/>
      <c r="O93" s="27"/>
      <c r="P93" s="27"/>
      <c r="Q93" s="28"/>
      <c r="R93" s="27"/>
      <c r="S93" s="27"/>
      <c r="T93" s="28"/>
      <c r="U93" s="24" t="str">
        <f t="shared" si="17"/>
        <v>dd/12</v>
      </c>
      <c r="V93" s="8" t="str">
        <f t="shared" si="18"/>
        <v>1-12</v>
      </c>
      <c r="Y93" s="9"/>
      <c r="Z93" s="9"/>
    </row>
    <row r="94" spans="1:26" ht="14.4" x14ac:dyDescent="0.3">
      <c r="A94" s="16">
        <v>93</v>
      </c>
      <c r="B94" s="17">
        <v>2</v>
      </c>
      <c r="C94" s="17">
        <v>1</v>
      </c>
      <c r="D94" s="17">
        <v>5</v>
      </c>
      <c r="E94" s="17">
        <v>13</v>
      </c>
      <c r="F94" s="17" t="s">
        <v>26</v>
      </c>
      <c r="G94" s="18">
        <v>49.35</v>
      </c>
      <c r="H94" s="19">
        <v>6700000</v>
      </c>
      <c r="I94" s="19">
        <v>330645000</v>
      </c>
      <c r="J94" s="19">
        <v>66129000</v>
      </c>
      <c r="K94" s="19">
        <v>264516000</v>
      </c>
      <c r="L94" s="17" t="s">
        <v>148</v>
      </c>
      <c r="M94" s="20"/>
      <c r="N94" s="20"/>
      <c r="O94" s="20"/>
      <c r="P94" s="20"/>
      <c r="Q94" s="17"/>
      <c r="R94" s="20"/>
      <c r="S94" s="20"/>
      <c r="T94" s="21">
        <v>46177</v>
      </c>
      <c r="U94" s="30"/>
      <c r="V94" s="31"/>
      <c r="W94" s="10"/>
      <c r="Y94" s="9"/>
      <c r="Z94" s="9"/>
    </row>
    <row r="95" spans="1:26" ht="14.4" x14ac:dyDescent="0.3">
      <c r="A95" s="24">
        <v>94</v>
      </c>
      <c r="B95" s="24">
        <v>2</v>
      </c>
      <c r="C95" s="24">
        <v>1</v>
      </c>
      <c r="D95" s="24">
        <v>5</v>
      </c>
      <c r="E95" s="24">
        <v>14</v>
      </c>
      <c r="F95" s="24" t="s">
        <v>26</v>
      </c>
      <c r="G95" s="25">
        <v>46.16</v>
      </c>
      <c r="H95" s="26">
        <f t="array" ref="H95">INDEX(Settings!$B$3:$B$7, D95)</f>
        <v>6700000</v>
      </c>
      <c r="I95" s="26">
        <f>G95*H95</f>
        <v>309272000</v>
      </c>
      <c r="J95" s="26">
        <f>I95*Settings!$B$2</f>
        <v>61854400</v>
      </c>
      <c r="K95" s="26">
        <f>I95-J95</f>
        <v>247417600</v>
      </c>
      <c r="L95" s="24" t="s">
        <v>27</v>
      </c>
      <c r="M95" s="27" t="s">
        <v>149</v>
      </c>
      <c r="N95" s="27"/>
      <c r="O95" s="27"/>
      <c r="P95" s="27"/>
      <c r="Q95" s="28"/>
      <c r="R95" s="27"/>
      <c r="S95" s="27"/>
      <c r="T95" s="28"/>
      <c r="U95" s="24" t="str">
        <f>TEXT(T95,"dd")&amp;"/"&amp;TEXT(E95,"00")</f>
        <v>dd/14</v>
      </c>
      <c r="V95" s="8" t="str">
        <f>C95&amp;"-"&amp;E95</f>
        <v>1-14</v>
      </c>
      <c r="Y95" s="9"/>
      <c r="Z95" s="9"/>
    </row>
    <row r="96" spans="1:26" ht="14.4" x14ac:dyDescent="0.3">
      <c r="A96" s="16">
        <v>95</v>
      </c>
      <c r="B96" s="17">
        <v>2</v>
      </c>
      <c r="C96" s="17">
        <v>1</v>
      </c>
      <c r="D96" s="17">
        <v>5</v>
      </c>
      <c r="E96" s="17">
        <v>15</v>
      </c>
      <c r="F96" s="17" t="s">
        <v>26</v>
      </c>
      <c r="G96" s="18">
        <v>49.35</v>
      </c>
      <c r="H96" s="19">
        <v>6700000</v>
      </c>
      <c r="I96" s="19">
        <v>330645000</v>
      </c>
      <c r="J96" s="19">
        <v>66129000</v>
      </c>
      <c r="K96" s="19">
        <v>264516000</v>
      </c>
      <c r="L96" s="17" t="s">
        <v>150</v>
      </c>
      <c r="M96" s="20" t="s">
        <v>151</v>
      </c>
      <c r="N96" s="20" t="s">
        <v>152</v>
      </c>
      <c r="O96" s="20" t="s">
        <v>153</v>
      </c>
      <c r="P96" s="20" t="s">
        <v>154</v>
      </c>
      <c r="Q96" s="17" t="s">
        <v>155</v>
      </c>
      <c r="R96" s="20">
        <v>920820753</v>
      </c>
      <c r="S96" s="20">
        <v>904410754</v>
      </c>
      <c r="T96" s="21">
        <v>46146</v>
      </c>
      <c r="U96" s="30" t="s">
        <v>156</v>
      </c>
      <c r="V96" s="31" t="s">
        <v>157</v>
      </c>
      <c r="W96" s="10" t="s">
        <v>42</v>
      </c>
      <c r="Y96" s="9"/>
      <c r="Z96" s="9"/>
    </row>
    <row r="97" spans="1:26" ht="14.4" x14ac:dyDescent="0.3">
      <c r="A97" s="24">
        <v>96</v>
      </c>
      <c r="B97" s="24">
        <v>2</v>
      </c>
      <c r="C97" s="24">
        <v>2</v>
      </c>
      <c r="D97" s="24">
        <v>1</v>
      </c>
      <c r="E97" s="24">
        <v>16</v>
      </c>
      <c r="F97" s="24" t="s">
        <v>26</v>
      </c>
      <c r="G97" s="25">
        <v>49.35</v>
      </c>
      <c r="H97" s="26">
        <v>7700000</v>
      </c>
      <c r="I97" s="26">
        <v>379995000</v>
      </c>
      <c r="J97" s="26">
        <v>75999000</v>
      </c>
      <c r="K97" s="26">
        <v>303996000</v>
      </c>
      <c r="L97" s="17" t="s">
        <v>27</v>
      </c>
      <c r="M97" s="27" t="s">
        <v>158</v>
      </c>
      <c r="N97" s="27" t="s">
        <v>159</v>
      </c>
      <c r="O97" s="27" t="s">
        <v>160</v>
      </c>
      <c r="P97" s="27" t="s">
        <v>161</v>
      </c>
      <c r="Q97" s="28">
        <v>44525</v>
      </c>
      <c r="R97" s="32" t="s">
        <v>162</v>
      </c>
      <c r="S97" s="27"/>
      <c r="T97" s="28">
        <v>46206</v>
      </c>
      <c r="U97" s="24" t="s">
        <v>163</v>
      </c>
      <c r="V97" s="8" t="s">
        <v>164</v>
      </c>
      <c r="W97" s="10" t="s">
        <v>63</v>
      </c>
      <c r="Y97" s="9"/>
      <c r="Z97" s="9"/>
    </row>
    <row r="98" spans="1:26" ht="14.4" x14ac:dyDescent="0.3">
      <c r="A98" s="16">
        <v>97</v>
      </c>
      <c r="B98" s="17">
        <v>2</v>
      </c>
      <c r="C98" s="17">
        <v>2</v>
      </c>
      <c r="D98" s="17">
        <v>1</v>
      </c>
      <c r="E98" s="17">
        <v>17</v>
      </c>
      <c r="F98" s="17" t="s">
        <v>26</v>
      </c>
      <c r="G98" s="18">
        <v>46.16</v>
      </c>
      <c r="H98" s="19">
        <v>7700000</v>
      </c>
      <c r="I98" s="19">
        <v>355432000</v>
      </c>
      <c r="J98" s="19">
        <v>71086400</v>
      </c>
      <c r="K98" s="19">
        <v>284345600</v>
      </c>
      <c r="L98" s="17" t="s">
        <v>148</v>
      </c>
      <c r="M98" s="20"/>
      <c r="N98" s="20"/>
      <c r="O98" s="20"/>
      <c r="P98" s="20"/>
      <c r="Q98" s="21"/>
      <c r="R98" s="20"/>
      <c r="S98" s="20"/>
      <c r="T98" s="21"/>
      <c r="U98" s="30" t="s">
        <v>50</v>
      </c>
      <c r="V98" s="31" t="s">
        <v>165</v>
      </c>
      <c r="W98" s="10"/>
      <c r="Y98" s="9"/>
      <c r="Z98" s="9"/>
    </row>
    <row r="99" spans="1:26" ht="14.4" x14ac:dyDescent="0.3">
      <c r="A99" s="24">
        <v>98</v>
      </c>
      <c r="B99" s="24">
        <v>2</v>
      </c>
      <c r="C99" s="24">
        <v>2</v>
      </c>
      <c r="D99" s="24">
        <v>1</v>
      </c>
      <c r="E99" s="24">
        <v>18</v>
      </c>
      <c r="F99" s="24" t="s">
        <v>26</v>
      </c>
      <c r="G99" s="25">
        <v>49.35</v>
      </c>
      <c r="H99" s="26">
        <v>7700000</v>
      </c>
      <c r="I99" s="26">
        <v>379995000</v>
      </c>
      <c r="J99" s="26">
        <v>75999000</v>
      </c>
      <c r="K99" s="26">
        <v>303996000</v>
      </c>
      <c r="L99" s="24" t="s">
        <v>27</v>
      </c>
      <c r="M99" s="27" t="s">
        <v>166</v>
      </c>
      <c r="N99" s="27"/>
      <c r="O99" s="27"/>
      <c r="P99" s="27"/>
      <c r="Q99" s="28"/>
      <c r="R99" s="27"/>
      <c r="S99" s="27"/>
      <c r="T99" s="28"/>
      <c r="U99" s="24" t="s">
        <v>167</v>
      </c>
      <c r="V99" s="8" t="s">
        <v>168</v>
      </c>
      <c r="W99" s="10" t="s">
        <v>169</v>
      </c>
      <c r="Y99" s="9" t="s">
        <v>170</v>
      </c>
      <c r="Z99" s="9"/>
    </row>
    <row r="100" spans="1:26" ht="14.4" x14ac:dyDescent="0.3">
      <c r="A100" s="16">
        <v>99</v>
      </c>
      <c r="B100" s="17">
        <v>2</v>
      </c>
      <c r="C100" s="17">
        <v>2</v>
      </c>
      <c r="D100" s="17">
        <v>2</v>
      </c>
      <c r="E100" s="17">
        <v>19</v>
      </c>
      <c r="F100" s="17" t="s">
        <v>26</v>
      </c>
      <c r="G100" s="18">
        <v>49.35</v>
      </c>
      <c r="H100" s="19">
        <f t="array" ref="H100">INDEX(Settings!$B$3:$B$7, D100)</f>
        <v>7800000</v>
      </c>
      <c r="I100" s="19">
        <f t="shared" ref="I100:I110" si="19">G100*H100</f>
        <v>384930000</v>
      </c>
      <c r="J100" s="19">
        <f>I100*Settings!$B$2</f>
        <v>76986000</v>
      </c>
      <c r="K100" s="19">
        <f t="shared" ref="K100:K110" si="20">I100-J100</f>
        <v>307944000</v>
      </c>
      <c r="L100" s="17" t="s">
        <v>27</v>
      </c>
      <c r="M100" s="20" t="s">
        <v>171</v>
      </c>
      <c r="N100" s="20"/>
      <c r="O100" s="20"/>
      <c r="P100" s="20"/>
      <c r="Q100" s="21"/>
      <c r="R100" s="20"/>
      <c r="S100" s="20"/>
      <c r="T100" s="21"/>
      <c r="U100" s="30" t="str">
        <f t="shared" ref="U100:U110" si="21">TEXT(T100,"dd")&amp;"/"&amp;TEXT(E100,"00")</f>
        <v>dd/19</v>
      </c>
      <c r="V100" s="8" t="str">
        <f t="shared" ref="V100:V110" si="22">C100&amp;"-"&amp;E100</f>
        <v>2-19</v>
      </c>
      <c r="Y100" s="9"/>
      <c r="Z100" s="9"/>
    </row>
    <row r="101" spans="1:26" ht="14.4" x14ac:dyDescent="0.3">
      <c r="A101" s="24">
        <v>100</v>
      </c>
      <c r="B101" s="24">
        <v>2</v>
      </c>
      <c r="C101" s="24">
        <v>2</v>
      </c>
      <c r="D101" s="24">
        <v>2</v>
      </c>
      <c r="E101" s="24">
        <v>20</v>
      </c>
      <c r="F101" s="24" t="s">
        <v>26</v>
      </c>
      <c r="G101" s="25">
        <v>46.16</v>
      </c>
      <c r="H101" s="26">
        <f t="array" ref="H101">INDEX(Settings!$B$3:$B$7, D101)</f>
        <v>7800000</v>
      </c>
      <c r="I101" s="26">
        <f t="shared" si="19"/>
        <v>360048000</v>
      </c>
      <c r="J101" s="26">
        <f>I101*Settings!$B$2</f>
        <v>72009600</v>
      </c>
      <c r="K101" s="26">
        <f t="shared" si="20"/>
        <v>288038400</v>
      </c>
      <c r="L101" s="24" t="s">
        <v>27</v>
      </c>
      <c r="M101" s="27" t="s">
        <v>172</v>
      </c>
      <c r="N101" s="20" t="s">
        <v>173</v>
      </c>
      <c r="O101" s="20" t="s">
        <v>174</v>
      </c>
      <c r="P101" s="20" t="s">
        <v>175</v>
      </c>
      <c r="Q101" s="21">
        <v>45069</v>
      </c>
      <c r="R101" s="20" t="s">
        <v>176</v>
      </c>
      <c r="S101" s="20" t="s">
        <v>177</v>
      </c>
      <c r="T101" s="21">
        <v>46112</v>
      </c>
      <c r="U101" s="24" t="str">
        <f t="shared" si="21"/>
        <v>dd/20</v>
      </c>
      <c r="V101" s="8" t="str">
        <f t="shared" si="22"/>
        <v>2-20</v>
      </c>
      <c r="Y101" s="9"/>
      <c r="Z101" s="9"/>
    </row>
    <row r="102" spans="1:26" ht="14.4" x14ac:dyDescent="0.3">
      <c r="A102" s="16">
        <v>101</v>
      </c>
      <c r="B102" s="17">
        <v>2</v>
      </c>
      <c r="C102" s="17">
        <v>2</v>
      </c>
      <c r="D102" s="17">
        <v>2</v>
      </c>
      <c r="E102" s="17">
        <v>21</v>
      </c>
      <c r="F102" s="17" t="s">
        <v>26</v>
      </c>
      <c r="G102" s="18">
        <v>49.35</v>
      </c>
      <c r="H102" s="19">
        <f t="array" ref="H102">INDEX(Settings!$B$3:$B$7, D102)</f>
        <v>7800000</v>
      </c>
      <c r="I102" s="19">
        <f t="shared" si="19"/>
        <v>384930000</v>
      </c>
      <c r="J102" s="19">
        <f>I102*Settings!$B$2</f>
        <v>76986000</v>
      </c>
      <c r="K102" s="19">
        <f t="shared" si="20"/>
        <v>307944000</v>
      </c>
      <c r="L102" s="17" t="s">
        <v>27</v>
      </c>
      <c r="M102" s="20" t="s">
        <v>178</v>
      </c>
      <c r="N102" s="20" t="s">
        <v>179</v>
      </c>
      <c r="O102" s="20" t="s">
        <v>180</v>
      </c>
      <c r="P102" s="20" t="s">
        <v>175</v>
      </c>
      <c r="Q102" s="21">
        <v>42618</v>
      </c>
      <c r="R102" s="20">
        <v>883101234</v>
      </c>
      <c r="S102" s="20">
        <v>997428913</v>
      </c>
      <c r="T102" s="21">
        <v>46113</v>
      </c>
      <c r="U102" s="30" t="str">
        <f t="shared" si="21"/>
        <v>dd/21</v>
      </c>
      <c r="V102" s="8" t="str">
        <f t="shared" si="22"/>
        <v>2-21</v>
      </c>
      <c r="Y102" s="9"/>
      <c r="Z102" s="9"/>
    </row>
    <row r="103" spans="1:26" ht="14.4" x14ac:dyDescent="0.3">
      <c r="A103" s="24">
        <v>102</v>
      </c>
      <c r="B103" s="24">
        <v>2</v>
      </c>
      <c r="C103" s="24">
        <v>2</v>
      </c>
      <c r="D103" s="24">
        <v>3</v>
      </c>
      <c r="E103" s="24">
        <v>22</v>
      </c>
      <c r="F103" s="24" t="s">
        <v>26</v>
      </c>
      <c r="G103" s="25">
        <v>49.35</v>
      </c>
      <c r="H103" s="26">
        <f t="array" ref="H103">INDEX(Settings!$B$3:$B$7, D103)</f>
        <v>7300000</v>
      </c>
      <c r="I103" s="26">
        <f t="shared" si="19"/>
        <v>360255000</v>
      </c>
      <c r="J103" s="26">
        <f>I103*Settings!$B$2</f>
        <v>72051000</v>
      </c>
      <c r="K103" s="26">
        <f t="shared" si="20"/>
        <v>288204000</v>
      </c>
      <c r="L103" s="24" t="s">
        <v>27</v>
      </c>
      <c r="M103" s="27" t="s">
        <v>181</v>
      </c>
      <c r="N103" s="27"/>
      <c r="O103" s="27"/>
      <c r="P103" s="27"/>
      <c r="Q103" s="28"/>
      <c r="R103" s="27"/>
      <c r="S103" s="27"/>
      <c r="T103" s="28"/>
      <c r="U103" s="24" t="str">
        <f t="shared" si="21"/>
        <v>dd/22</v>
      </c>
      <c r="V103" s="8" t="str">
        <f t="shared" si="22"/>
        <v>2-22</v>
      </c>
      <c r="Y103" s="9"/>
      <c r="Z103" s="9"/>
    </row>
    <row r="104" spans="1:26" ht="14.4" x14ac:dyDescent="0.3">
      <c r="A104" s="16">
        <v>103</v>
      </c>
      <c r="B104" s="17">
        <v>2</v>
      </c>
      <c r="C104" s="17">
        <v>2</v>
      </c>
      <c r="D104" s="17">
        <v>3</v>
      </c>
      <c r="E104" s="17">
        <v>23</v>
      </c>
      <c r="F104" s="17" t="s">
        <v>26</v>
      </c>
      <c r="G104" s="18">
        <v>46.16</v>
      </c>
      <c r="H104" s="19">
        <f t="array" ref="H104">INDEX(Settings!$B$3:$B$7, D104)</f>
        <v>7300000</v>
      </c>
      <c r="I104" s="19">
        <f t="shared" si="19"/>
        <v>336968000</v>
      </c>
      <c r="J104" s="19">
        <f>I104*Settings!$B$2</f>
        <v>67393600</v>
      </c>
      <c r="K104" s="19">
        <f t="shared" si="20"/>
        <v>269574400</v>
      </c>
      <c r="L104" s="17" t="s">
        <v>27</v>
      </c>
      <c r="M104" s="20" t="s">
        <v>182</v>
      </c>
      <c r="N104" s="20"/>
      <c r="O104" s="20"/>
      <c r="P104" s="20"/>
      <c r="Q104" s="21"/>
      <c r="R104" s="20"/>
      <c r="S104" s="20"/>
      <c r="T104" s="21"/>
      <c r="U104" s="30" t="str">
        <f t="shared" si="21"/>
        <v>dd/23</v>
      </c>
      <c r="V104" s="8" t="str">
        <f t="shared" si="22"/>
        <v>2-23</v>
      </c>
      <c r="Y104" s="9"/>
      <c r="Z104" s="9"/>
    </row>
    <row r="105" spans="1:26" ht="14.4" x14ac:dyDescent="0.3">
      <c r="A105" s="24">
        <v>104</v>
      </c>
      <c r="B105" s="24">
        <v>2</v>
      </c>
      <c r="C105" s="24">
        <v>2</v>
      </c>
      <c r="D105" s="24">
        <v>3</v>
      </c>
      <c r="E105" s="24">
        <v>24</v>
      </c>
      <c r="F105" s="24" t="s">
        <v>26</v>
      </c>
      <c r="G105" s="25">
        <v>49.35</v>
      </c>
      <c r="H105" s="26">
        <f t="array" ref="H105">INDEX(Settings!$B$3:$B$7, D105)</f>
        <v>7300000</v>
      </c>
      <c r="I105" s="26">
        <f t="shared" si="19"/>
        <v>360255000</v>
      </c>
      <c r="J105" s="26">
        <f>I105*Settings!$B$2</f>
        <v>72051000</v>
      </c>
      <c r="K105" s="26">
        <f t="shared" si="20"/>
        <v>288204000</v>
      </c>
      <c r="L105" s="24" t="s">
        <v>27</v>
      </c>
      <c r="M105" s="27" t="s">
        <v>183</v>
      </c>
      <c r="N105" s="27"/>
      <c r="O105" s="27"/>
      <c r="P105" s="27"/>
      <c r="Q105" s="28"/>
      <c r="R105" s="27"/>
      <c r="S105" s="27"/>
      <c r="T105" s="28"/>
      <c r="U105" s="24" t="str">
        <f t="shared" si="21"/>
        <v>dd/24</v>
      </c>
      <c r="V105" s="8" t="str">
        <f t="shared" si="22"/>
        <v>2-24</v>
      </c>
      <c r="Y105" s="9"/>
      <c r="Z105" s="9"/>
    </row>
    <row r="106" spans="1:26" ht="14.4" x14ac:dyDescent="0.3">
      <c r="A106" s="16">
        <v>105</v>
      </c>
      <c r="B106" s="17">
        <v>2</v>
      </c>
      <c r="C106" s="17">
        <v>2</v>
      </c>
      <c r="D106" s="17">
        <v>4</v>
      </c>
      <c r="E106" s="17">
        <v>25</v>
      </c>
      <c r="F106" s="17" t="s">
        <v>26</v>
      </c>
      <c r="G106" s="18">
        <v>49.35</v>
      </c>
      <c r="H106" s="19">
        <f t="array" ref="H106">INDEX(Settings!$B$3:$B$7, D106)</f>
        <v>7000000</v>
      </c>
      <c r="I106" s="19">
        <f t="shared" si="19"/>
        <v>345450000</v>
      </c>
      <c r="J106" s="19">
        <f>I106*Settings!$B$2</f>
        <v>69090000</v>
      </c>
      <c r="K106" s="19">
        <f t="shared" si="20"/>
        <v>276360000</v>
      </c>
      <c r="L106" s="17" t="s">
        <v>27</v>
      </c>
      <c r="M106" s="20" t="s">
        <v>184</v>
      </c>
      <c r="N106" s="20" t="s">
        <v>185</v>
      </c>
      <c r="O106" s="20" t="s">
        <v>186</v>
      </c>
      <c r="P106" s="20" t="s">
        <v>187</v>
      </c>
      <c r="Q106" s="21">
        <v>45797</v>
      </c>
      <c r="R106" s="20">
        <v>907160858</v>
      </c>
      <c r="S106" s="20">
        <v>908964847</v>
      </c>
      <c r="T106" s="21">
        <v>46108</v>
      </c>
      <c r="U106" s="30" t="str">
        <f t="shared" si="21"/>
        <v>dd/25</v>
      </c>
      <c r="V106" s="8" t="str">
        <f t="shared" si="22"/>
        <v>2-25</v>
      </c>
      <c r="Y106" s="9"/>
      <c r="Z106" s="9"/>
    </row>
    <row r="107" spans="1:26" ht="14.4" x14ac:dyDescent="0.3">
      <c r="A107" s="24">
        <v>106</v>
      </c>
      <c r="B107" s="24">
        <v>2</v>
      </c>
      <c r="C107" s="24">
        <v>2</v>
      </c>
      <c r="D107" s="24">
        <v>4</v>
      </c>
      <c r="E107" s="24">
        <v>26</v>
      </c>
      <c r="F107" s="24" t="s">
        <v>26</v>
      </c>
      <c r="G107" s="25">
        <v>46.16</v>
      </c>
      <c r="H107" s="26">
        <f t="array" ref="H107">INDEX(Settings!$B$3:$B$7, D107)</f>
        <v>7000000</v>
      </c>
      <c r="I107" s="26">
        <f t="shared" si="19"/>
        <v>323120000</v>
      </c>
      <c r="J107" s="26">
        <f>I107*Settings!$B$2</f>
        <v>64624000</v>
      </c>
      <c r="K107" s="26">
        <f t="shared" si="20"/>
        <v>258496000</v>
      </c>
      <c r="L107" s="24" t="s">
        <v>27</v>
      </c>
      <c r="M107" s="27" t="s">
        <v>188</v>
      </c>
      <c r="N107" s="27"/>
      <c r="O107" s="27"/>
      <c r="P107" s="27"/>
      <c r="Q107" s="28"/>
      <c r="R107" s="27"/>
      <c r="S107" s="27"/>
      <c r="T107" s="28"/>
      <c r="U107" s="24" t="str">
        <f t="shared" si="21"/>
        <v>dd/26</v>
      </c>
      <c r="V107" s="8" t="str">
        <f t="shared" si="22"/>
        <v>2-26</v>
      </c>
      <c r="Y107" s="9"/>
      <c r="Z107" s="9"/>
    </row>
    <row r="108" spans="1:26" ht="14.4" x14ac:dyDescent="0.3">
      <c r="A108" s="16">
        <v>107</v>
      </c>
      <c r="B108" s="17">
        <v>2</v>
      </c>
      <c r="C108" s="17">
        <v>2</v>
      </c>
      <c r="D108" s="17">
        <v>4</v>
      </c>
      <c r="E108" s="17">
        <v>27</v>
      </c>
      <c r="F108" s="17" t="s">
        <v>26</v>
      </c>
      <c r="G108" s="18">
        <v>49.35</v>
      </c>
      <c r="H108" s="19">
        <f t="array" ref="H108">INDEX(Settings!$B$3:$B$7, D108)</f>
        <v>7000000</v>
      </c>
      <c r="I108" s="19">
        <f t="shared" si="19"/>
        <v>345450000</v>
      </c>
      <c r="J108" s="19">
        <f>I108*Settings!$B$2</f>
        <v>69090000</v>
      </c>
      <c r="K108" s="19">
        <f t="shared" si="20"/>
        <v>276360000</v>
      </c>
      <c r="L108" s="17" t="s">
        <v>27</v>
      </c>
      <c r="M108" s="20" t="s">
        <v>189</v>
      </c>
      <c r="N108" s="20"/>
      <c r="O108" s="20"/>
      <c r="P108" s="20"/>
      <c r="Q108" s="21"/>
      <c r="R108" s="20"/>
      <c r="S108" s="20"/>
      <c r="T108" s="21"/>
      <c r="U108" s="30" t="str">
        <f t="shared" si="21"/>
        <v>dd/27</v>
      </c>
      <c r="V108" s="8" t="str">
        <f t="shared" si="22"/>
        <v>2-27</v>
      </c>
      <c r="Y108" s="9"/>
      <c r="Z108" s="9"/>
    </row>
    <row r="109" spans="1:26" ht="14.4" x14ac:dyDescent="0.3">
      <c r="A109" s="24">
        <v>108</v>
      </c>
      <c r="B109" s="24">
        <v>2</v>
      </c>
      <c r="C109" s="24">
        <v>2</v>
      </c>
      <c r="D109" s="24">
        <v>5</v>
      </c>
      <c r="E109" s="24">
        <v>28</v>
      </c>
      <c r="F109" s="24" t="s">
        <v>26</v>
      </c>
      <c r="G109" s="25">
        <v>49.35</v>
      </c>
      <c r="H109" s="26">
        <f t="array" ref="H109">INDEX(Settings!$B$3:$B$7, D109)</f>
        <v>6700000</v>
      </c>
      <c r="I109" s="26">
        <f t="shared" si="19"/>
        <v>330645000</v>
      </c>
      <c r="J109" s="26">
        <f>I109*Settings!$B$2</f>
        <v>66129000</v>
      </c>
      <c r="K109" s="26">
        <f t="shared" si="20"/>
        <v>264516000</v>
      </c>
      <c r="L109" s="24" t="s">
        <v>27</v>
      </c>
      <c r="M109" s="27" t="s">
        <v>190</v>
      </c>
      <c r="N109" s="27"/>
      <c r="O109" s="27"/>
      <c r="P109" s="27"/>
      <c r="Q109" s="28"/>
      <c r="R109" s="27"/>
      <c r="S109" s="27"/>
      <c r="T109" s="28"/>
      <c r="U109" s="24" t="str">
        <f t="shared" si="21"/>
        <v>dd/28</v>
      </c>
      <c r="V109" s="8" t="str">
        <f t="shared" si="22"/>
        <v>2-28</v>
      </c>
      <c r="Y109" s="9"/>
      <c r="Z109" s="9"/>
    </row>
    <row r="110" spans="1:26" ht="14.4" x14ac:dyDescent="0.3">
      <c r="A110" s="16">
        <v>109</v>
      </c>
      <c r="B110" s="17">
        <v>2</v>
      </c>
      <c r="C110" s="17">
        <v>2</v>
      </c>
      <c r="D110" s="17">
        <v>5</v>
      </c>
      <c r="E110" s="17">
        <v>29</v>
      </c>
      <c r="F110" s="17" t="s">
        <v>26</v>
      </c>
      <c r="G110" s="18">
        <v>46.16</v>
      </c>
      <c r="H110" s="19">
        <f t="array" ref="H110">INDEX(Settings!$B$3:$B$7, D110)</f>
        <v>6700000</v>
      </c>
      <c r="I110" s="19">
        <f t="shared" si="19"/>
        <v>309272000</v>
      </c>
      <c r="J110" s="19">
        <f>I110*Settings!$B$2</f>
        <v>61854400</v>
      </c>
      <c r="K110" s="19">
        <f t="shared" si="20"/>
        <v>247417600</v>
      </c>
      <c r="L110" s="17" t="s">
        <v>27</v>
      </c>
      <c r="M110" s="20" t="s">
        <v>191</v>
      </c>
      <c r="N110" s="20"/>
      <c r="O110" s="20"/>
      <c r="P110" s="20"/>
      <c r="Q110" s="21"/>
      <c r="R110" s="20"/>
      <c r="S110" s="20"/>
      <c r="T110" s="21"/>
      <c r="U110" s="30" t="str">
        <f t="shared" si="21"/>
        <v>dd/29</v>
      </c>
      <c r="V110" s="8" t="str">
        <f t="shared" si="22"/>
        <v>2-29</v>
      </c>
      <c r="Y110" s="9"/>
      <c r="Z110" s="9"/>
    </row>
    <row r="111" spans="1:26" ht="14.4" x14ac:dyDescent="0.3">
      <c r="A111" s="24">
        <v>110</v>
      </c>
      <c r="B111" s="24">
        <v>2</v>
      </c>
      <c r="C111" s="24">
        <v>2</v>
      </c>
      <c r="D111" s="24">
        <v>5</v>
      </c>
      <c r="E111" s="24">
        <v>30</v>
      </c>
      <c r="F111" s="24" t="s">
        <v>26</v>
      </c>
      <c r="G111" s="25">
        <v>49.35</v>
      </c>
      <c r="H111" s="26">
        <v>6700000</v>
      </c>
      <c r="I111" s="26">
        <v>330645000</v>
      </c>
      <c r="J111" s="26">
        <v>66129000</v>
      </c>
      <c r="K111" s="26">
        <v>264516000</v>
      </c>
      <c r="L111" s="24" t="s">
        <v>27</v>
      </c>
      <c r="M111" s="27" t="s">
        <v>192</v>
      </c>
      <c r="N111" s="27" t="s">
        <v>193</v>
      </c>
      <c r="O111" s="27" t="s">
        <v>194</v>
      </c>
      <c r="P111" s="27" t="s">
        <v>195</v>
      </c>
      <c r="Q111" s="28">
        <v>43197</v>
      </c>
      <c r="R111" s="20">
        <v>880381012</v>
      </c>
      <c r="S111" s="27"/>
      <c r="T111" s="28">
        <v>46139</v>
      </c>
      <c r="U111" s="24" t="s">
        <v>196</v>
      </c>
      <c r="V111" s="8" t="s">
        <v>197</v>
      </c>
      <c r="W111" s="10" t="s">
        <v>42</v>
      </c>
      <c r="Y111" s="9"/>
      <c r="Z111" s="9"/>
    </row>
    <row r="112" spans="1:26" ht="14.4" x14ac:dyDescent="0.3">
      <c r="A112" s="16">
        <v>111</v>
      </c>
      <c r="B112" s="17">
        <v>2</v>
      </c>
      <c r="C112" s="17">
        <v>3</v>
      </c>
      <c r="D112" s="17">
        <v>1</v>
      </c>
      <c r="E112" s="17">
        <v>31</v>
      </c>
      <c r="F112" s="17" t="s">
        <v>26</v>
      </c>
      <c r="G112" s="18">
        <v>49.35</v>
      </c>
      <c r="H112" s="19">
        <v>7700000</v>
      </c>
      <c r="I112" s="19">
        <v>379995000</v>
      </c>
      <c r="J112" s="19">
        <v>75999000</v>
      </c>
      <c r="K112" s="19">
        <v>303996000</v>
      </c>
      <c r="L112" s="17" t="s">
        <v>27</v>
      </c>
      <c r="M112" s="20" t="s">
        <v>198</v>
      </c>
      <c r="N112" s="20" t="s">
        <v>199</v>
      </c>
      <c r="O112" s="20" t="s">
        <v>200</v>
      </c>
      <c r="P112" s="20" t="s">
        <v>201</v>
      </c>
      <c r="Q112" s="21">
        <v>46094</v>
      </c>
      <c r="R112" s="32" t="s">
        <v>202</v>
      </c>
      <c r="S112" s="33" t="s">
        <v>203</v>
      </c>
      <c r="T112" s="21">
        <v>46140</v>
      </c>
      <c r="U112" s="30" t="s">
        <v>204</v>
      </c>
      <c r="V112" s="8" t="s">
        <v>205</v>
      </c>
      <c r="W112" s="10" t="s">
        <v>169</v>
      </c>
      <c r="Y112" s="9"/>
      <c r="Z112" s="9" t="s">
        <v>206</v>
      </c>
    </row>
    <row r="113" spans="1:26" ht="14.4" x14ac:dyDescent="0.3">
      <c r="A113" s="24">
        <v>112</v>
      </c>
      <c r="B113" s="24">
        <v>2</v>
      </c>
      <c r="C113" s="24">
        <v>3</v>
      </c>
      <c r="D113" s="24">
        <v>1</v>
      </c>
      <c r="E113" s="24">
        <v>32</v>
      </c>
      <c r="F113" s="24" t="s">
        <v>26</v>
      </c>
      <c r="G113" s="25">
        <v>46.16</v>
      </c>
      <c r="H113" s="26">
        <v>7700000</v>
      </c>
      <c r="I113" s="26">
        <v>355432000</v>
      </c>
      <c r="J113" s="26">
        <v>71086400</v>
      </c>
      <c r="K113" s="26">
        <v>284345600</v>
      </c>
      <c r="L113" s="17" t="s">
        <v>27</v>
      </c>
      <c r="M113" s="27" t="s">
        <v>207</v>
      </c>
      <c r="N113" s="27" t="s">
        <v>208</v>
      </c>
      <c r="O113" s="27" t="s">
        <v>209</v>
      </c>
      <c r="P113" s="27" t="s">
        <v>201</v>
      </c>
      <c r="Q113" s="28">
        <v>42929</v>
      </c>
      <c r="R113" s="20">
        <v>996660092</v>
      </c>
      <c r="S113" s="27">
        <v>993304684</v>
      </c>
      <c r="T113" s="28">
        <v>46131</v>
      </c>
      <c r="U113" s="24" t="s">
        <v>210</v>
      </c>
      <c r="V113" s="8" t="s">
        <v>211</v>
      </c>
      <c r="W113" s="10" t="s">
        <v>63</v>
      </c>
      <c r="Y113" s="9" t="s">
        <v>212</v>
      </c>
      <c r="Z113" s="9"/>
    </row>
    <row r="114" spans="1:26" ht="14.4" x14ac:dyDescent="0.3">
      <c r="A114" s="16">
        <v>113</v>
      </c>
      <c r="B114" s="17">
        <v>2</v>
      </c>
      <c r="C114" s="17">
        <v>3</v>
      </c>
      <c r="D114" s="17">
        <v>1</v>
      </c>
      <c r="E114" s="17">
        <v>33</v>
      </c>
      <c r="F114" s="17" t="s">
        <v>26</v>
      </c>
      <c r="G114" s="18">
        <v>49.35</v>
      </c>
      <c r="H114" s="19">
        <v>7700000</v>
      </c>
      <c r="I114" s="19">
        <v>379995000</v>
      </c>
      <c r="J114" s="19">
        <v>75999000</v>
      </c>
      <c r="K114" s="19">
        <v>303996000</v>
      </c>
      <c r="L114" s="17" t="s">
        <v>27</v>
      </c>
      <c r="M114" s="20" t="s">
        <v>213</v>
      </c>
      <c r="N114" s="20" t="s">
        <v>214</v>
      </c>
      <c r="O114" s="20" t="s">
        <v>215</v>
      </c>
      <c r="P114" s="20" t="s">
        <v>201</v>
      </c>
      <c r="Q114" s="21">
        <v>37765</v>
      </c>
      <c r="R114" s="20">
        <v>973869578</v>
      </c>
      <c r="S114" s="20">
        <v>880513311</v>
      </c>
      <c r="T114" s="21">
        <v>46138</v>
      </c>
      <c r="U114" s="30" t="s">
        <v>216</v>
      </c>
      <c r="V114" s="8" t="s">
        <v>217</v>
      </c>
      <c r="W114" s="10" t="s">
        <v>169</v>
      </c>
      <c r="Y114" s="9" t="s">
        <v>218</v>
      </c>
      <c r="Z114" s="9"/>
    </row>
    <row r="115" spans="1:26" ht="14.4" x14ac:dyDescent="0.3">
      <c r="A115" s="24">
        <v>114</v>
      </c>
      <c r="B115" s="24">
        <v>2</v>
      </c>
      <c r="C115" s="24">
        <v>3</v>
      </c>
      <c r="D115" s="24">
        <v>2</v>
      </c>
      <c r="E115" s="24">
        <v>34</v>
      </c>
      <c r="F115" s="24" t="s">
        <v>26</v>
      </c>
      <c r="G115" s="25">
        <v>49.35</v>
      </c>
      <c r="H115" s="26">
        <v>7800000</v>
      </c>
      <c r="I115" s="26">
        <v>384930000</v>
      </c>
      <c r="J115" s="26">
        <v>76986000</v>
      </c>
      <c r="K115" s="26">
        <v>307944000</v>
      </c>
      <c r="L115" s="24" t="s">
        <v>27</v>
      </c>
      <c r="M115" s="27" t="s">
        <v>219</v>
      </c>
      <c r="N115" s="27" t="s">
        <v>220</v>
      </c>
      <c r="O115" s="27" t="s">
        <v>221</v>
      </c>
      <c r="P115" s="27" t="s">
        <v>222</v>
      </c>
      <c r="Q115" s="28">
        <v>45191</v>
      </c>
      <c r="R115" s="27">
        <v>990622058</v>
      </c>
      <c r="S115" s="27">
        <v>995655861</v>
      </c>
      <c r="T115" s="28">
        <v>46133</v>
      </c>
      <c r="U115" s="24" t="s">
        <v>223</v>
      </c>
      <c r="V115" s="8" t="s">
        <v>224</v>
      </c>
      <c r="W115" s="10" t="s">
        <v>63</v>
      </c>
      <c r="Y115" s="9"/>
      <c r="Z115" s="9"/>
    </row>
    <row r="116" spans="1:26" ht="14.4" x14ac:dyDescent="0.3">
      <c r="A116" s="16">
        <v>115</v>
      </c>
      <c r="B116" s="17">
        <v>2</v>
      </c>
      <c r="C116" s="17">
        <v>3</v>
      </c>
      <c r="D116" s="17">
        <v>2</v>
      </c>
      <c r="E116" s="17">
        <v>35</v>
      </c>
      <c r="F116" s="17" t="s">
        <v>26</v>
      </c>
      <c r="G116" s="18">
        <v>46.16</v>
      </c>
      <c r="H116" s="19">
        <v>7800000</v>
      </c>
      <c r="I116" s="19">
        <v>360048000</v>
      </c>
      <c r="J116" s="19">
        <v>72009600</v>
      </c>
      <c r="K116" s="19">
        <v>288038400</v>
      </c>
      <c r="L116" s="17" t="s">
        <v>27</v>
      </c>
      <c r="M116" s="20" t="s">
        <v>225</v>
      </c>
      <c r="N116" s="20" t="s">
        <v>226</v>
      </c>
      <c r="O116" s="17" t="s">
        <v>227</v>
      </c>
      <c r="P116" s="20" t="s">
        <v>201</v>
      </c>
      <c r="Q116" s="21">
        <v>46092</v>
      </c>
      <c r="R116" s="20">
        <v>976399895</v>
      </c>
      <c r="S116" s="20">
        <v>990810469</v>
      </c>
      <c r="T116" s="21">
        <v>46187</v>
      </c>
      <c r="U116" s="30" t="s">
        <v>228</v>
      </c>
      <c r="V116" s="8" t="s">
        <v>229</v>
      </c>
      <c r="W116" s="10" t="s">
        <v>169</v>
      </c>
      <c r="Y116" s="9" t="s">
        <v>230</v>
      </c>
      <c r="Z116" s="9"/>
    </row>
    <row r="117" spans="1:26" ht="14.4" x14ac:dyDescent="0.3">
      <c r="A117" s="24">
        <v>116</v>
      </c>
      <c r="B117" s="24">
        <v>2</v>
      </c>
      <c r="C117" s="24">
        <v>3</v>
      </c>
      <c r="D117" s="24">
        <v>2</v>
      </c>
      <c r="E117" s="24">
        <v>36</v>
      </c>
      <c r="F117" s="24" t="s">
        <v>26</v>
      </c>
      <c r="G117" s="25">
        <v>49.35</v>
      </c>
      <c r="H117" s="26">
        <v>7800000</v>
      </c>
      <c r="I117" s="26">
        <v>384930000</v>
      </c>
      <c r="J117" s="26">
        <v>76986000</v>
      </c>
      <c r="K117" s="26">
        <v>307944000</v>
      </c>
      <c r="L117" s="24" t="s">
        <v>27</v>
      </c>
      <c r="M117" s="27" t="s">
        <v>231</v>
      </c>
      <c r="N117" s="20"/>
      <c r="O117" s="27" t="s">
        <v>232</v>
      </c>
      <c r="P117" s="27"/>
      <c r="Q117" s="28"/>
      <c r="R117" s="27">
        <v>972810104</v>
      </c>
      <c r="S117" s="27"/>
      <c r="T117" s="28"/>
      <c r="U117" s="24" t="s">
        <v>233</v>
      </c>
      <c r="V117" s="8" t="s">
        <v>234</v>
      </c>
      <c r="W117" s="10" t="s">
        <v>63</v>
      </c>
      <c r="Y117" s="9" t="s">
        <v>235</v>
      </c>
      <c r="Z117" s="9" t="s">
        <v>236</v>
      </c>
    </row>
    <row r="118" spans="1:26" ht="14.4" x14ac:dyDescent="0.3">
      <c r="A118" s="16">
        <v>117</v>
      </c>
      <c r="B118" s="17">
        <v>2</v>
      </c>
      <c r="C118" s="17">
        <v>3</v>
      </c>
      <c r="D118" s="17">
        <v>3</v>
      </c>
      <c r="E118" s="17">
        <v>37</v>
      </c>
      <c r="F118" s="17" t="s">
        <v>26</v>
      </c>
      <c r="G118" s="18">
        <v>49.35</v>
      </c>
      <c r="H118" s="19">
        <f t="array" ref="H118">INDEX(Settings!$B$3:$B$7, D118)</f>
        <v>7300000</v>
      </c>
      <c r="I118" s="19">
        <f t="shared" ref="I118:I123" si="23">G118*H118</f>
        <v>360255000</v>
      </c>
      <c r="J118" s="19">
        <f>I118*Settings!$B$2</f>
        <v>72051000</v>
      </c>
      <c r="K118" s="19">
        <f t="shared" ref="K118:K123" si="24">I118-J118</f>
        <v>288204000</v>
      </c>
      <c r="L118" s="17" t="s">
        <v>27</v>
      </c>
      <c r="M118" s="20" t="s">
        <v>237</v>
      </c>
      <c r="N118" s="20"/>
      <c r="O118" s="20"/>
      <c r="P118" s="20"/>
      <c r="Q118" s="21"/>
      <c r="R118" s="20"/>
      <c r="S118" s="20"/>
      <c r="T118" s="21"/>
      <c r="U118" s="30" t="str">
        <f t="shared" ref="U118:U123" si="25">TEXT(T118,"dd")&amp;"/"&amp;TEXT(E118,"00")</f>
        <v>dd/37</v>
      </c>
      <c r="V118" s="8" t="str">
        <f t="shared" ref="V118:V123" si="26">C118&amp;"-"&amp;E118</f>
        <v>3-37</v>
      </c>
      <c r="Y118" s="9"/>
      <c r="Z118" s="9"/>
    </row>
    <row r="119" spans="1:26" ht="14.4" x14ac:dyDescent="0.3">
      <c r="A119" s="24">
        <v>118</v>
      </c>
      <c r="B119" s="24">
        <v>2</v>
      </c>
      <c r="C119" s="24">
        <v>3</v>
      </c>
      <c r="D119" s="24">
        <v>3</v>
      </c>
      <c r="E119" s="24">
        <v>38</v>
      </c>
      <c r="F119" s="24" t="s">
        <v>26</v>
      </c>
      <c r="G119" s="25">
        <v>46.16</v>
      </c>
      <c r="H119" s="26">
        <f t="array" ref="H119">INDEX(Settings!$B$3:$B$7, D119)</f>
        <v>7300000</v>
      </c>
      <c r="I119" s="26">
        <f t="shared" si="23"/>
        <v>336968000</v>
      </c>
      <c r="J119" s="26">
        <f>I119*Settings!$B$2</f>
        <v>67393600</v>
      </c>
      <c r="K119" s="26">
        <f t="shared" si="24"/>
        <v>269574400</v>
      </c>
      <c r="L119" s="24" t="s">
        <v>27</v>
      </c>
      <c r="M119" s="27" t="s">
        <v>238</v>
      </c>
      <c r="N119" s="27"/>
      <c r="O119" s="27"/>
      <c r="P119" s="27"/>
      <c r="Q119" s="28"/>
      <c r="R119" s="27"/>
      <c r="S119" s="27"/>
      <c r="T119" s="28"/>
      <c r="U119" s="24" t="str">
        <f t="shared" si="25"/>
        <v>dd/38</v>
      </c>
      <c r="V119" s="8" t="str">
        <f t="shared" si="26"/>
        <v>3-38</v>
      </c>
      <c r="Y119" s="9"/>
      <c r="Z119" s="9"/>
    </row>
    <row r="120" spans="1:26" ht="14.4" x14ac:dyDescent="0.3">
      <c r="A120" s="16">
        <v>119</v>
      </c>
      <c r="B120" s="17">
        <v>2</v>
      </c>
      <c r="C120" s="17">
        <v>3</v>
      </c>
      <c r="D120" s="17">
        <v>3</v>
      </c>
      <c r="E120" s="17">
        <v>39</v>
      </c>
      <c r="F120" s="17" t="s">
        <v>26</v>
      </c>
      <c r="G120" s="18">
        <v>49.35</v>
      </c>
      <c r="H120" s="19">
        <f t="array" ref="H120">INDEX(Settings!$B$3:$B$7, D120)</f>
        <v>7300000</v>
      </c>
      <c r="I120" s="19">
        <f t="shared" si="23"/>
        <v>360255000</v>
      </c>
      <c r="J120" s="19">
        <f>I120*Settings!$B$2</f>
        <v>72051000</v>
      </c>
      <c r="K120" s="19">
        <f t="shared" si="24"/>
        <v>288204000</v>
      </c>
      <c r="L120" s="17" t="s">
        <v>27</v>
      </c>
      <c r="M120" s="20" t="s">
        <v>239</v>
      </c>
      <c r="N120" s="20"/>
      <c r="O120" s="20"/>
      <c r="P120" s="20"/>
      <c r="Q120" s="21"/>
      <c r="R120" s="20"/>
      <c r="S120" s="20"/>
      <c r="T120" s="21"/>
      <c r="U120" s="30" t="str">
        <f t="shared" si="25"/>
        <v>dd/39</v>
      </c>
      <c r="V120" s="8" t="str">
        <f t="shared" si="26"/>
        <v>3-39</v>
      </c>
      <c r="Y120" s="9"/>
      <c r="Z120" s="9"/>
    </row>
    <row r="121" spans="1:26" ht="14.4" x14ac:dyDescent="0.3">
      <c r="A121" s="24">
        <v>120</v>
      </c>
      <c r="B121" s="24">
        <v>2</v>
      </c>
      <c r="C121" s="24">
        <v>3</v>
      </c>
      <c r="D121" s="24">
        <v>4</v>
      </c>
      <c r="E121" s="24">
        <v>40</v>
      </c>
      <c r="F121" s="24" t="s">
        <v>26</v>
      </c>
      <c r="G121" s="25">
        <v>49.35</v>
      </c>
      <c r="H121" s="19">
        <v>6900000</v>
      </c>
      <c r="I121" s="26">
        <f t="shared" si="23"/>
        <v>340515000</v>
      </c>
      <c r="J121" s="26">
        <f>I121*Settings!$B$2</f>
        <v>68103000</v>
      </c>
      <c r="K121" s="26">
        <f t="shared" si="24"/>
        <v>272412000</v>
      </c>
      <c r="L121" s="24" t="s">
        <v>27</v>
      </c>
      <c r="M121" s="27" t="s">
        <v>240</v>
      </c>
      <c r="N121" s="27" t="s">
        <v>241</v>
      </c>
      <c r="O121" s="27" t="s">
        <v>242</v>
      </c>
      <c r="P121" s="27" t="s">
        <v>243</v>
      </c>
      <c r="Q121" s="24" t="s">
        <v>242</v>
      </c>
      <c r="R121" s="27">
        <v>955718789</v>
      </c>
      <c r="S121" s="27"/>
      <c r="T121" s="28">
        <v>46023</v>
      </c>
      <c r="U121" s="24" t="str">
        <f t="shared" si="25"/>
        <v>dd/40</v>
      </c>
      <c r="V121" s="8" t="str">
        <f t="shared" si="26"/>
        <v>3-40</v>
      </c>
      <c r="Y121" s="9"/>
      <c r="Z121" s="9"/>
    </row>
    <row r="122" spans="1:26" ht="14.4" x14ac:dyDescent="0.3">
      <c r="A122" s="16">
        <v>121</v>
      </c>
      <c r="B122" s="17">
        <v>2</v>
      </c>
      <c r="C122" s="17">
        <v>3</v>
      </c>
      <c r="D122" s="17">
        <v>4</v>
      </c>
      <c r="E122" s="17">
        <v>41</v>
      </c>
      <c r="F122" s="17" t="s">
        <v>26</v>
      </c>
      <c r="G122" s="18">
        <v>46.16</v>
      </c>
      <c r="H122" s="19">
        <f t="array" ref="H122">INDEX(Settings!$B$3:$B$7, D122)</f>
        <v>7000000</v>
      </c>
      <c r="I122" s="19">
        <f t="shared" si="23"/>
        <v>323120000</v>
      </c>
      <c r="J122" s="19">
        <f>I122*Settings!$B$2</f>
        <v>64624000</v>
      </c>
      <c r="K122" s="19">
        <f t="shared" si="24"/>
        <v>258496000</v>
      </c>
      <c r="L122" s="17" t="s">
        <v>27</v>
      </c>
      <c r="M122" s="20" t="s">
        <v>244</v>
      </c>
      <c r="N122" s="20"/>
      <c r="O122" s="20"/>
      <c r="P122" s="20"/>
      <c r="Q122" s="21"/>
      <c r="R122" s="20"/>
      <c r="S122" s="20"/>
      <c r="T122" s="21"/>
      <c r="U122" s="30" t="str">
        <f t="shared" si="25"/>
        <v>dd/41</v>
      </c>
      <c r="V122" s="8" t="str">
        <f t="shared" si="26"/>
        <v>3-41</v>
      </c>
      <c r="Y122" s="9"/>
      <c r="Z122" s="9"/>
    </row>
    <row r="123" spans="1:26" ht="14.4" x14ac:dyDescent="0.3">
      <c r="A123" s="24">
        <v>122</v>
      </c>
      <c r="B123" s="24">
        <v>2</v>
      </c>
      <c r="C123" s="24">
        <v>3</v>
      </c>
      <c r="D123" s="24">
        <v>4</v>
      </c>
      <c r="E123" s="24">
        <v>42</v>
      </c>
      <c r="F123" s="24" t="s">
        <v>26</v>
      </c>
      <c r="G123" s="25">
        <v>49.35</v>
      </c>
      <c r="H123" s="26">
        <f t="array" ref="H123">INDEX(Settings!$B$3:$B$7, D123)</f>
        <v>7000000</v>
      </c>
      <c r="I123" s="26">
        <f t="shared" si="23"/>
        <v>345450000</v>
      </c>
      <c r="J123" s="26">
        <f>I123*Settings!$B$2</f>
        <v>69090000</v>
      </c>
      <c r="K123" s="26">
        <f t="shared" si="24"/>
        <v>276360000</v>
      </c>
      <c r="L123" s="24" t="s">
        <v>27</v>
      </c>
      <c r="M123" s="27" t="s">
        <v>245</v>
      </c>
      <c r="N123" s="27"/>
      <c r="O123" s="27"/>
      <c r="P123" s="27"/>
      <c r="Q123" s="28"/>
      <c r="R123" s="27"/>
      <c r="S123" s="27"/>
      <c r="T123" s="28"/>
      <c r="U123" s="24" t="str">
        <f t="shared" si="25"/>
        <v>dd/42</v>
      </c>
      <c r="V123" s="8" t="str">
        <f t="shared" si="26"/>
        <v>3-42</v>
      </c>
      <c r="Y123" s="9"/>
      <c r="Z123" s="9"/>
    </row>
    <row r="124" spans="1:26" ht="14.4" x14ac:dyDescent="0.3">
      <c r="A124" s="16">
        <v>123</v>
      </c>
      <c r="B124" s="17">
        <v>2</v>
      </c>
      <c r="C124" s="17">
        <v>3</v>
      </c>
      <c r="D124" s="17">
        <v>5</v>
      </c>
      <c r="E124" s="17">
        <v>43</v>
      </c>
      <c r="F124" s="17" t="s">
        <v>26</v>
      </c>
      <c r="G124" s="18">
        <v>49.35</v>
      </c>
      <c r="H124" s="19">
        <v>6700000</v>
      </c>
      <c r="I124" s="19">
        <v>330645000</v>
      </c>
      <c r="J124" s="19">
        <v>66129000</v>
      </c>
      <c r="K124" s="19">
        <v>264516000</v>
      </c>
      <c r="L124" s="17" t="s">
        <v>27</v>
      </c>
      <c r="M124" s="20" t="s">
        <v>246</v>
      </c>
      <c r="N124" s="20" t="s">
        <v>247</v>
      </c>
      <c r="O124" s="20" t="s">
        <v>248</v>
      </c>
      <c r="P124" s="20" t="s">
        <v>201</v>
      </c>
      <c r="Q124" s="21">
        <v>44922</v>
      </c>
      <c r="R124" s="20">
        <v>906663286</v>
      </c>
      <c r="S124" s="20">
        <v>976323286</v>
      </c>
      <c r="T124" s="21">
        <v>46171</v>
      </c>
      <c r="U124" s="30" t="s">
        <v>249</v>
      </c>
      <c r="V124" s="8" t="s">
        <v>250</v>
      </c>
      <c r="W124" s="10" t="s">
        <v>169</v>
      </c>
      <c r="Y124" s="9"/>
      <c r="Z124" s="9"/>
    </row>
    <row r="125" spans="1:26" ht="14.4" x14ac:dyDescent="0.3">
      <c r="A125" s="24">
        <v>124</v>
      </c>
      <c r="B125" s="24">
        <v>2</v>
      </c>
      <c r="C125" s="24">
        <v>3</v>
      </c>
      <c r="D125" s="24">
        <v>5</v>
      </c>
      <c r="E125" s="24">
        <v>44</v>
      </c>
      <c r="F125" s="24" t="s">
        <v>26</v>
      </c>
      <c r="G125" s="25">
        <v>46.16</v>
      </c>
      <c r="H125" s="26">
        <f t="array" ref="H125">INDEX(Settings!$B$3:$B$7, D125)</f>
        <v>6700000</v>
      </c>
      <c r="I125" s="26">
        <f t="shared" ref="I125:I128" si="27">G125*H125</f>
        <v>309272000</v>
      </c>
      <c r="J125" s="26">
        <f>I125*Settings!$B$2</f>
        <v>61854400</v>
      </c>
      <c r="K125" s="26">
        <f t="shared" ref="K125:K128" si="28">I125-J125</f>
        <v>247417600</v>
      </c>
      <c r="L125" s="24" t="s">
        <v>27</v>
      </c>
      <c r="M125" s="27" t="s">
        <v>251</v>
      </c>
      <c r="N125" s="27"/>
      <c r="O125" s="27"/>
      <c r="P125" s="27"/>
      <c r="Q125" s="28"/>
      <c r="R125" s="27"/>
      <c r="S125" s="27"/>
      <c r="T125" s="28"/>
      <c r="U125" s="24" t="str">
        <f t="shared" ref="U125:U128" si="29">TEXT(T125,"dd")&amp;"/"&amp;TEXT(E125,"00")</f>
        <v>dd/44</v>
      </c>
      <c r="V125" s="8" t="str">
        <f t="shared" ref="V125:V128" si="30">C125&amp;"-"&amp;E125</f>
        <v>3-44</v>
      </c>
      <c r="Y125" s="9"/>
      <c r="Z125" s="9"/>
    </row>
    <row r="126" spans="1:26" ht="14.4" x14ac:dyDescent="0.3">
      <c r="A126" s="16">
        <v>125</v>
      </c>
      <c r="B126" s="17">
        <v>2</v>
      </c>
      <c r="C126" s="17">
        <v>3</v>
      </c>
      <c r="D126" s="17">
        <v>5</v>
      </c>
      <c r="E126" s="17">
        <v>45</v>
      </c>
      <c r="F126" s="17" t="s">
        <v>26</v>
      </c>
      <c r="G126" s="18">
        <v>49.35</v>
      </c>
      <c r="H126" s="19">
        <f t="array" ref="H126">INDEX(Settings!$B$3:$B$7, D126)</f>
        <v>6700000</v>
      </c>
      <c r="I126" s="19">
        <f t="shared" si="27"/>
        <v>330645000</v>
      </c>
      <c r="J126" s="19">
        <f>I126*Settings!$B$2</f>
        <v>66129000</v>
      </c>
      <c r="K126" s="19">
        <f t="shared" si="28"/>
        <v>264516000</v>
      </c>
      <c r="L126" s="17" t="s">
        <v>27</v>
      </c>
      <c r="M126" s="20" t="s">
        <v>252</v>
      </c>
      <c r="N126" s="20"/>
      <c r="O126" s="20"/>
      <c r="P126" s="20"/>
      <c r="Q126" s="21"/>
      <c r="R126" s="20"/>
      <c r="S126" s="20"/>
      <c r="T126" s="21"/>
      <c r="U126" s="30" t="str">
        <f t="shared" si="29"/>
        <v>dd/45</v>
      </c>
      <c r="V126" s="8" t="str">
        <f t="shared" si="30"/>
        <v>3-45</v>
      </c>
      <c r="Y126" s="9"/>
      <c r="Z126" s="9"/>
    </row>
    <row r="127" spans="1:26" ht="14.4" x14ac:dyDescent="0.3">
      <c r="A127" s="24">
        <v>126</v>
      </c>
      <c r="B127" s="24">
        <v>2</v>
      </c>
      <c r="C127" s="24">
        <v>4</v>
      </c>
      <c r="D127" s="24">
        <v>1</v>
      </c>
      <c r="E127" s="24">
        <v>46</v>
      </c>
      <c r="F127" s="24" t="s">
        <v>26</v>
      </c>
      <c r="G127" s="25">
        <v>49.35</v>
      </c>
      <c r="H127" s="26">
        <f t="array" ref="H127">INDEX(Settings!$B$3:$B$7, D127)</f>
        <v>7700000</v>
      </c>
      <c r="I127" s="26">
        <f t="shared" si="27"/>
        <v>379995000</v>
      </c>
      <c r="J127" s="26">
        <f>I127*Settings!$B$2</f>
        <v>75999000</v>
      </c>
      <c r="K127" s="26">
        <f t="shared" si="28"/>
        <v>303996000</v>
      </c>
      <c r="L127" s="24" t="s">
        <v>27</v>
      </c>
      <c r="M127" s="27" t="s">
        <v>253</v>
      </c>
      <c r="N127" s="27"/>
      <c r="O127" s="27"/>
      <c r="P127" s="27"/>
      <c r="Q127" s="28"/>
      <c r="R127" s="27">
        <v>950981115</v>
      </c>
      <c r="S127" s="27">
        <v>958009511</v>
      </c>
      <c r="T127" s="28">
        <v>46150</v>
      </c>
      <c r="U127" s="24" t="str">
        <f t="shared" si="29"/>
        <v>dd/46</v>
      </c>
      <c r="V127" s="8" t="str">
        <f t="shared" si="30"/>
        <v>4-46</v>
      </c>
      <c r="W127" s="10" t="s">
        <v>42</v>
      </c>
      <c r="Y127" s="9"/>
      <c r="Z127" s="9"/>
    </row>
    <row r="128" spans="1:26" ht="14.4" x14ac:dyDescent="0.3">
      <c r="A128" s="16">
        <v>127</v>
      </c>
      <c r="B128" s="17">
        <v>2</v>
      </c>
      <c r="C128" s="17">
        <v>4</v>
      </c>
      <c r="D128" s="17">
        <v>1</v>
      </c>
      <c r="E128" s="17">
        <v>47</v>
      </c>
      <c r="F128" s="17" t="s">
        <v>26</v>
      </c>
      <c r="G128" s="18">
        <v>46.16</v>
      </c>
      <c r="H128" s="19">
        <f t="array" ref="H128">INDEX(Settings!$B$3:$B$7, D128)</f>
        <v>7700000</v>
      </c>
      <c r="I128" s="19">
        <f t="shared" si="27"/>
        <v>355432000</v>
      </c>
      <c r="J128" s="19">
        <f>I128*Settings!$B$2</f>
        <v>71086400</v>
      </c>
      <c r="K128" s="19">
        <f t="shared" si="28"/>
        <v>284345600</v>
      </c>
      <c r="L128" s="17" t="s">
        <v>27</v>
      </c>
      <c r="M128" s="20" t="s">
        <v>254</v>
      </c>
      <c r="N128" s="20" t="s">
        <v>255</v>
      </c>
      <c r="O128" s="20" t="s">
        <v>256</v>
      </c>
      <c r="P128" s="20" t="s">
        <v>187</v>
      </c>
      <c r="Q128" s="21">
        <v>42511</v>
      </c>
      <c r="R128" s="20">
        <v>918175124</v>
      </c>
      <c r="S128" s="20">
        <v>912233006</v>
      </c>
      <c r="T128" s="21">
        <v>46119</v>
      </c>
      <c r="U128" s="30" t="str">
        <f t="shared" si="29"/>
        <v>dd/47</v>
      </c>
      <c r="V128" s="8" t="str">
        <f t="shared" si="30"/>
        <v>4-47</v>
      </c>
      <c r="Y128" s="9"/>
      <c r="Z128" s="9"/>
    </row>
    <row r="129" spans="1:26" ht="14.4" x14ac:dyDescent="0.3">
      <c r="A129" s="24">
        <v>128</v>
      </c>
      <c r="B129" s="24">
        <v>2</v>
      </c>
      <c r="C129" s="24">
        <v>4</v>
      </c>
      <c r="D129" s="24">
        <v>1</v>
      </c>
      <c r="E129" s="24">
        <v>48</v>
      </c>
      <c r="F129" s="24" t="s">
        <v>26</v>
      </c>
      <c r="G129" s="25">
        <v>49.35</v>
      </c>
      <c r="H129" s="26">
        <v>7700000</v>
      </c>
      <c r="I129" s="26">
        <v>379995000</v>
      </c>
      <c r="J129" s="26">
        <v>75999000</v>
      </c>
      <c r="K129" s="26">
        <v>303996000</v>
      </c>
      <c r="L129" s="24" t="s">
        <v>27</v>
      </c>
      <c r="M129" s="27" t="s">
        <v>257</v>
      </c>
      <c r="N129" s="27" t="s">
        <v>258</v>
      </c>
      <c r="O129" s="27" t="s">
        <v>259</v>
      </c>
      <c r="P129" s="27" t="s">
        <v>201</v>
      </c>
      <c r="Q129" s="28">
        <v>44505</v>
      </c>
      <c r="R129" s="27">
        <v>916367007</v>
      </c>
      <c r="S129" s="27">
        <v>908800900</v>
      </c>
      <c r="T129" s="28">
        <v>46205</v>
      </c>
      <c r="U129" s="24" t="s">
        <v>260</v>
      </c>
      <c r="V129" s="8" t="s">
        <v>261</v>
      </c>
      <c r="W129" s="10" t="s">
        <v>169</v>
      </c>
      <c r="Y129" s="9" t="s">
        <v>262</v>
      </c>
      <c r="Z129" s="9"/>
    </row>
    <row r="130" spans="1:26" ht="14.4" x14ac:dyDescent="0.3">
      <c r="A130" s="16">
        <v>129</v>
      </c>
      <c r="B130" s="17">
        <v>2</v>
      </c>
      <c r="C130" s="17">
        <v>4</v>
      </c>
      <c r="D130" s="17">
        <v>2</v>
      </c>
      <c r="E130" s="17">
        <v>49</v>
      </c>
      <c r="F130" s="17" t="s">
        <v>26</v>
      </c>
      <c r="G130" s="18">
        <v>49.35</v>
      </c>
      <c r="H130" s="19">
        <v>7800000</v>
      </c>
      <c r="I130" s="19">
        <v>384930000</v>
      </c>
      <c r="J130" s="19">
        <v>76986000</v>
      </c>
      <c r="K130" s="19">
        <v>307944000</v>
      </c>
      <c r="L130" s="17" t="s">
        <v>127</v>
      </c>
      <c r="M130" s="20" t="s">
        <v>263</v>
      </c>
      <c r="N130" s="20"/>
      <c r="O130" s="20"/>
      <c r="P130" s="20"/>
      <c r="Q130" s="34"/>
      <c r="R130" s="20">
        <v>990568998</v>
      </c>
      <c r="S130" s="20"/>
      <c r="T130" s="21">
        <v>46188</v>
      </c>
      <c r="U130" s="30" t="s">
        <v>264</v>
      </c>
      <c r="V130" s="8" t="s">
        <v>265</v>
      </c>
      <c r="W130" s="10" t="s">
        <v>169</v>
      </c>
      <c r="Y130" s="9" t="s">
        <v>130</v>
      </c>
      <c r="Z130" s="9"/>
    </row>
    <row r="131" spans="1:26" ht="14.4" x14ac:dyDescent="0.3">
      <c r="A131" s="24">
        <v>130</v>
      </c>
      <c r="B131" s="24">
        <v>2</v>
      </c>
      <c r="C131" s="24">
        <v>4</v>
      </c>
      <c r="D131" s="24">
        <v>2</v>
      </c>
      <c r="E131" s="24">
        <v>50</v>
      </c>
      <c r="F131" s="24" t="s">
        <v>26</v>
      </c>
      <c r="G131" s="25">
        <v>46.16</v>
      </c>
      <c r="H131" s="26">
        <f t="array" ref="H131">INDEX(Settings!$B$3:$B$7, D131)</f>
        <v>7800000</v>
      </c>
      <c r="I131" s="26">
        <f t="shared" ref="I131:I138" si="31">G131*H131</f>
        <v>360048000</v>
      </c>
      <c r="J131" s="26">
        <f>I131*Settings!$B$2</f>
        <v>72009600</v>
      </c>
      <c r="K131" s="26">
        <f t="shared" ref="K131:K138" si="32">I131-J131</f>
        <v>288038400</v>
      </c>
      <c r="L131" s="24" t="s">
        <v>27</v>
      </c>
      <c r="M131" s="27" t="s">
        <v>266</v>
      </c>
      <c r="N131" s="27"/>
      <c r="O131" s="27"/>
      <c r="P131" s="27"/>
      <c r="Q131" s="28"/>
      <c r="R131" s="27" t="s">
        <v>267</v>
      </c>
      <c r="S131" s="27">
        <v>888810665</v>
      </c>
      <c r="T131" s="28"/>
      <c r="U131" s="24" t="str">
        <f t="shared" ref="U131:U138" si="33">TEXT(T131,"dd")&amp;"/"&amp;TEXT(E131,"00")</f>
        <v>dd/50</v>
      </c>
      <c r="V131" s="8" t="str">
        <f t="shared" ref="V131:V138" si="34">C131&amp;"-"&amp;E131</f>
        <v>4-50</v>
      </c>
      <c r="Y131" s="9"/>
      <c r="Z131" s="9"/>
    </row>
    <row r="132" spans="1:26" ht="14.4" x14ac:dyDescent="0.3">
      <c r="A132" s="16">
        <v>131</v>
      </c>
      <c r="B132" s="17">
        <v>2</v>
      </c>
      <c r="C132" s="17">
        <v>4</v>
      </c>
      <c r="D132" s="17">
        <v>2</v>
      </c>
      <c r="E132" s="17">
        <v>51</v>
      </c>
      <c r="F132" s="17" t="s">
        <v>26</v>
      </c>
      <c r="G132" s="18">
        <v>49.35</v>
      </c>
      <c r="H132" s="19">
        <v>7700000</v>
      </c>
      <c r="I132" s="19">
        <f t="shared" si="31"/>
        <v>379995000</v>
      </c>
      <c r="J132" s="19">
        <f>I132*Settings!$B$2</f>
        <v>75999000</v>
      </c>
      <c r="K132" s="19">
        <f t="shared" si="32"/>
        <v>303996000</v>
      </c>
      <c r="L132" s="17" t="s">
        <v>27</v>
      </c>
      <c r="M132" s="20" t="s">
        <v>268</v>
      </c>
      <c r="N132" s="20"/>
      <c r="O132" s="20"/>
      <c r="P132" s="20"/>
      <c r="Q132" s="21"/>
      <c r="R132" s="20"/>
      <c r="S132" s="20"/>
      <c r="T132" s="21"/>
      <c r="U132" s="30" t="str">
        <f t="shared" si="33"/>
        <v>dd/51</v>
      </c>
      <c r="V132" s="8" t="str">
        <f t="shared" si="34"/>
        <v>4-51</v>
      </c>
      <c r="Y132" s="9"/>
      <c r="Z132" s="9"/>
    </row>
    <row r="133" spans="1:26" ht="14.4" x14ac:dyDescent="0.3">
      <c r="A133" s="24">
        <v>132</v>
      </c>
      <c r="B133" s="24">
        <v>2</v>
      </c>
      <c r="C133" s="24">
        <v>4</v>
      </c>
      <c r="D133" s="24">
        <v>3</v>
      </c>
      <c r="E133" s="24">
        <v>52</v>
      </c>
      <c r="F133" s="24" t="s">
        <v>26</v>
      </c>
      <c r="G133" s="25">
        <v>49.35</v>
      </c>
      <c r="H133" s="26">
        <v>7200000</v>
      </c>
      <c r="I133" s="26">
        <f t="shared" si="31"/>
        <v>355320000</v>
      </c>
      <c r="J133" s="26">
        <f>I133*Settings!$B$2</f>
        <v>71064000</v>
      </c>
      <c r="K133" s="26">
        <f t="shared" si="32"/>
        <v>284256000</v>
      </c>
      <c r="L133" s="24" t="s">
        <v>27</v>
      </c>
      <c r="M133" s="27" t="s">
        <v>269</v>
      </c>
      <c r="N133" s="27" t="s">
        <v>270</v>
      </c>
      <c r="O133" s="27" t="s">
        <v>271</v>
      </c>
      <c r="P133" s="27" t="s">
        <v>272</v>
      </c>
      <c r="Q133" s="28">
        <v>45128</v>
      </c>
      <c r="R133" s="27">
        <v>883649300</v>
      </c>
      <c r="S133" s="27">
        <v>883863110</v>
      </c>
      <c r="T133" s="28">
        <v>46112</v>
      </c>
      <c r="U133" s="24" t="str">
        <f t="shared" si="33"/>
        <v>dd/52</v>
      </c>
      <c r="V133" s="8" t="str">
        <f t="shared" si="34"/>
        <v>4-52</v>
      </c>
      <c r="Y133" s="9"/>
      <c r="Z133" s="9"/>
    </row>
    <row r="134" spans="1:26" ht="14.4" x14ac:dyDescent="0.3">
      <c r="A134" s="16">
        <v>133</v>
      </c>
      <c r="B134" s="17">
        <v>2</v>
      </c>
      <c r="C134" s="17">
        <v>4</v>
      </c>
      <c r="D134" s="17">
        <v>3</v>
      </c>
      <c r="E134" s="17">
        <v>53</v>
      </c>
      <c r="F134" s="17" t="s">
        <v>26</v>
      </c>
      <c r="G134" s="18">
        <v>46.16</v>
      </c>
      <c r="H134" s="19">
        <f t="array" ref="H134">INDEX(Settings!$B$3:$B$7, D134)</f>
        <v>7300000</v>
      </c>
      <c r="I134" s="19">
        <f t="shared" si="31"/>
        <v>336968000</v>
      </c>
      <c r="J134" s="19">
        <f>I134*Settings!$B$2</f>
        <v>67393600</v>
      </c>
      <c r="K134" s="19">
        <f t="shared" si="32"/>
        <v>269574400</v>
      </c>
      <c r="L134" s="17" t="s">
        <v>27</v>
      </c>
      <c r="M134" s="20" t="s">
        <v>273</v>
      </c>
      <c r="N134" s="20"/>
      <c r="O134" s="20"/>
      <c r="P134" s="20"/>
      <c r="Q134" s="21"/>
      <c r="R134" s="20"/>
      <c r="S134" s="20"/>
      <c r="T134" s="21"/>
      <c r="U134" s="30" t="str">
        <f t="shared" si="33"/>
        <v>dd/53</v>
      </c>
      <c r="V134" s="8" t="str">
        <f t="shared" si="34"/>
        <v>4-53</v>
      </c>
      <c r="Y134" s="9"/>
      <c r="Z134" s="9"/>
    </row>
    <row r="135" spans="1:26" ht="14.4" x14ac:dyDescent="0.3">
      <c r="A135" s="24">
        <v>134</v>
      </c>
      <c r="B135" s="24">
        <v>2</v>
      </c>
      <c r="C135" s="24">
        <v>4</v>
      </c>
      <c r="D135" s="24">
        <v>3</v>
      </c>
      <c r="E135" s="24">
        <v>54</v>
      </c>
      <c r="F135" s="24" t="s">
        <v>26</v>
      </c>
      <c r="G135" s="25">
        <v>49.35</v>
      </c>
      <c r="H135" s="26">
        <f t="array" ref="H135">INDEX(Settings!$B$3:$B$7, D135)</f>
        <v>7300000</v>
      </c>
      <c r="I135" s="26">
        <f t="shared" si="31"/>
        <v>360255000</v>
      </c>
      <c r="J135" s="26">
        <f>I135*Settings!$B$2</f>
        <v>72051000</v>
      </c>
      <c r="K135" s="26">
        <f t="shared" si="32"/>
        <v>288204000</v>
      </c>
      <c r="L135" s="24" t="s">
        <v>27</v>
      </c>
      <c r="M135" s="27" t="s">
        <v>274</v>
      </c>
      <c r="N135" s="27" t="s">
        <v>270</v>
      </c>
      <c r="O135" s="27" t="s">
        <v>275</v>
      </c>
      <c r="P135" s="27" t="s">
        <v>276</v>
      </c>
      <c r="Q135" s="28">
        <v>42888</v>
      </c>
      <c r="R135" s="27">
        <v>502527300</v>
      </c>
      <c r="S135" s="27">
        <v>882901597</v>
      </c>
      <c r="T135" s="28">
        <v>23</v>
      </c>
      <c r="U135" s="24" t="str">
        <f t="shared" si="33"/>
        <v>dd/54</v>
      </c>
      <c r="V135" s="8" t="str">
        <f t="shared" si="34"/>
        <v>4-54</v>
      </c>
      <c r="Y135" s="9"/>
      <c r="Z135" s="9"/>
    </row>
    <row r="136" spans="1:26" ht="14.4" x14ac:dyDescent="0.3">
      <c r="A136" s="16">
        <v>135</v>
      </c>
      <c r="B136" s="17">
        <v>2</v>
      </c>
      <c r="C136" s="17">
        <v>4</v>
      </c>
      <c r="D136" s="17">
        <v>4</v>
      </c>
      <c r="E136" s="17">
        <v>55</v>
      </c>
      <c r="F136" s="17" t="s">
        <v>26</v>
      </c>
      <c r="G136" s="18">
        <v>49.35</v>
      </c>
      <c r="H136" s="19">
        <v>6900000</v>
      </c>
      <c r="I136" s="19">
        <f t="shared" si="31"/>
        <v>340515000</v>
      </c>
      <c r="J136" s="19">
        <f>I136*Settings!$B$2</f>
        <v>68103000</v>
      </c>
      <c r="K136" s="19">
        <f t="shared" si="32"/>
        <v>272412000</v>
      </c>
      <c r="L136" s="17" t="s">
        <v>27</v>
      </c>
      <c r="M136" s="20" t="s">
        <v>277</v>
      </c>
      <c r="N136" s="20" t="s">
        <v>278</v>
      </c>
      <c r="O136" s="20" t="s">
        <v>279</v>
      </c>
      <c r="P136" s="20" t="s">
        <v>280</v>
      </c>
      <c r="Q136" s="21">
        <v>42969</v>
      </c>
      <c r="R136" s="20">
        <v>912231519</v>
      </c>
      <c r="S136" s="20">
        <v>886338070</v>
      </c>
      <c r="T136" s="21">
        <v>46106</v>
      </c>
      <c r="U136" s="30" t="str">
        <f t="shared" si="33"/>
        <v>dd/55</v>
      </c>
      <c r="V136" s="8" t="str">
        <f t="shared" si="34"/>
        <v>4-55</v>
      </c>
      <c r="Y136" s="9"/>
      <c r="Z136" s="9"/>
    </row>
    <row r="137" spans="1:26" ht="14.4" x14ac:dyDescent="0.3">
      <c r="A137" s="24">
        <v>136</v>
      </c>
      <c r="B137" s="24">
        <v>2</v>
      </c>
      <c r="C137" s="24">
        <v>4</v>
      </c>
      <c r="D137" s="24">
        <v>4</v>
      </c>
      <c r="E137" s="24">
        <v>56</v>
      </c>
      <c r="F137" s="24" t="s">
        <v>26</v>
      </c>
      <c r="G137" s="25">
        <v>46.16</v>
      </c>
      <c r="H137" s="26">
        <f t="array" ref="H137">INDEX(Settings!$B$3:$B$7, D137)</f>
        <v>7000000</v>
      </c>
      <c r="I137" s="26">
        <f t="shared" si="31"/>
        <v>323120000</v>
      </c>
      <c r="J137" s="26">
        <f>I137*Settings!$B$2</f>
        <v>64624000</v>
      </c>
      <c r="K137" s="26">
        <f t="shared" si="32"/>
        <v>258496000</v>
      </c>
      <c r="L137" s="24" t="s">
        <v>27</v>
      </c>
      <c r="M137" s="27" t="s">
        <v>281</v>
      </c>
      <c r="N137" s="27"/>
      <c r="O137" s="27"/>
      <c r="P137" s="27"/>
      <c r="Q137" s="28"/>
      <c r="R137" s="27"/>
      <c r="S137" s="27"/>
      <c r="T137" s="28"/>
      <c r="U137" s="24" t="str">
        <f t="shared" si="33"/>
        <v>dd/56</v>
      </c>
      <c r="V137" s="8" t="str">
        <f t="shared" si="34"/>
        <v>4-56</v>
      </c>
      <c r="Y137" s="9"/>
      <c r="Z137" s="9"/>
    </row>
    <row r="138" spans="1:26" ht="14.4" x14ac:dyDescent="0.3">
      <c r="A138" s="16">
        <v>137</v>
      </c>
      <c r="B138" s="17">
        <v>2</v>
      </c>
      <c r="C138" s="17">
        <v>4</v>
      </c>
      <c r="D138" s="17">
        <v>4</v>
      </c>
      <c r="E138" s="17">
        <v>57</v>
      </c>
      <c r="F138" s="17" t="s">
        <v>26</v>
      </c>
      <c r="G138" s="18">
        <v>49.35</v>
      </c>
      <c r="H138" s="19">
        <f t="array" ref="H138">INDEX(Settings!$B$3:$B$7, D138)</f>
        <v>7000000</v>
      </c>
      <c r="I138" s="19">
        <f t="shared" si="31"/>
        <v>345450000</v>
      </c>
      <c r="J138" s="19">
        <f>I138*Settings!$B$2</f>
        <v>69090000</v>
      </c>
      <c r="K138" s="19">
        <f t="shared" si="32"/>
        <v>276360000</v>
      </c>
      <c r="L138" s="17" t="s">
        <v>27</v>
      </c>
      <c r="M138" s="20" t="s">
        <v>282</v>
      </c>
      <c r="N138" s="20" t="s">
        <v>283</v>
      </c>
      <c r="O138" s="20" t="s">
        <v>284</v>
      </c>
      <c r="P138" s="20" t="s">
        <v>187</v>
      </c>
      <c r="Q138" s="21">
        <v>42954</v>
      </c>
      <c r="R138" s="20">
        <v>878480986</v>
      </c>
      <c r="S138" s="20">
        <v>883808692</v>
      </c>
      <c r="T138" s="21">
        <v>46112</v>
      </c>
      <c r="U138" s="30" t="str">
        <f t="shared" si="33"/>
        <v>dd/57</v>
      </c>
      <c r="V138" s="8" t="str">
        <f t="shared" si="34"/>
        <v>4-57</v>
      </c>
      <c r="Y138" s="9"/>
      <c r="Z138" s="9"/>
    </row>
    <row r="139" spans="1:26" ht="14.4" x14ac:dyDescent="0.3">
      <c r="A139" s="24">
        <v>138</v>
      </c>
      <c r="B139" s="24">
        <v>2</v>
      </c>
      <c r="C139" s="24">
        <v>4</v>
      </c>
      <c r="D139" s="24">
        <v>5</v>
      </c>
      <c r="E139" s="24">
        <v>58</v>
      </c>
      <c r="F139" s="24" t="s">
        <v>26</v>
      </c>
      <c r="G139" s="25">
        <v>49.35</v>
      </c>
      <c r="H139" s="26">
        <v>6700000</v>
      </c>
      <c r="I139" s="26">
        <v>330645000</v>
      </c>
      <c r="J139" s="26">
        <v>66129000</v>
      </c>
      <c r="K139" s="26">
        <v>264516000</v>
      </c>
      <c r="L139" s="24" t="s">
        <v>27</v>
      </c>
      <c r="M139" s="27" t="s">
        <v>285</v>
      </c>
      <c r="N139" s="27" t="s">
        <v>286</v>
      </c>
      <c r="O139" s="27" t="s">
        <v>287</v>
      </c>
      <c r="P139" s="27" t="s">
        <v>201</v>
      </c>
      <c r="Q139" s="28">
        <v>46067</v>
      </c>
      <c r="R139" s="20">
        <v>884957313</v>
      </c>
      <c r="S139" s="27">
        <v>956410608</v>
      </c>
      <c r="T139" s="28">
        <v>46186</v>
      </c>
      <c r="U139" s="24" t="s">
        <v>288</v>
      </c>
      <c r="V139" s="8" t="s">
        <v>289</v>
      </c>
      <c r="W139" s="10" t="s">
        <v>169</v>
      </c>
      <c r="Y139" s="9"/>
      <c r="Z139" s="9"/>
    </row>
    <row r="140" spans="1:26" ht="14.4" x14ac:dyDescent="0.3">
      <c r="A140" s="16">
        <v>139</v>
      </c>
      <c r="B140" s="17">
        <v>2</v>
      </c>
      <c r="C140" s="17">
        <v>4</v>
      </c>
      <c r="D140" s="17">
        <v>5</v>
      </c>
      <c r="E140" s="17">
        <v>59</v>
      </c>
      <c r="F140" s="17" t="s">
        <v>26</v>
      </c>
      <c r="G140" s="18">
        <v>46.16</v>
      </c>
      <c r="H140" s="19">
        <f t="array" ref="H140">INDEX(Settings!$B$3:$B$7, D140)</f>
        <v>6700000</v>
      </c>
      <c r="I140" s="19">
        <f>G140*H140</f>
        <v>309272000</v>
      </c>
      <c r="J140" s="19">
        <f>I140*Settings!$B$2</f>
        <v>61854400</v>
      </c>
      <c r="K140" s="19">
        <f>I140-J140</f>
        <v>247417600</v>
      </c>
      <c r="L140" s="17" t="s">
        <v>27</v>
      </c>
      <c r="M140" s="20" t="s">
        <v>290</v>
      </c>
      <c r="N140" s="20"/>
      <c r="O140" s="20"/>
      <c r="P140" s="20" t="s">
        <v>49</v>
      </c>
      <c r="Q140" s="21"/>
      <c r="R140" s="20"/>
      <c r="S140" s="20"/>
      <c r="T140" s="21"/>
      <c r="U140" s="30" t="str">
        <f>TEXT(T140,"dd")&amp;"/"&amp;TEXT(E140,"00")</f>
        <v>dd/59</v>
      </c>
      <c r="V140" s="8" t="str">
        <f>C140&amp;"-"&amp;E140</f>
        <v>4-59</v>
      </c>
      <c r="Y140" s="9"/>
      <c r="Z140" s="9"/>
    </row>
    <row r="141" spans="1:26" ht="14.4" x14ac:dyDescent="0.3">
      <c r="A141" s="24">
        <v>140</v>
      </c>
      <c r="B141" s="24">
        <v>2</v>
      </c>
      <c r="C141" s="24">
        <v>4</v>
      </c>
      <c r="D141" s="24">
        <v>5</v>
      </c>
      <c r="E141" s="24">
        <v>60</v>
      </c>
      <c r="F141" s="24" t="s">
        <v>26</v>
      </c>
      <c r="G141" s="25">
        <v>49.35</v>
      </c>
      <c r="H141" s="26">
        <v>6700000</v>
      </c>
      <c r="I141" s="26">
        <v>330645000</v>
      </c>
      <c r="J141" s="26">
        <v>66129000</v>
      </c>
      <c r="K141" s="26">
        <v>264516000</v>
      </c>
      <c r="L141" s="24" t="s">
        <v>291</v>
      </c>
      <c r="M141" s="27"/>
      <c r="N141" s="27"/>
      <c r="O141" s="27"/>
      <c r="P141" s="27"/>
      <c r="Q141" s="28"/>
      <c r="R141" s="27"/>
      <c r="S141" s="27"/>
      <c r="T141" s="28"/>
      <c r="U141" s="24" t="s">
        <v>292</v>
      </c>
      <c r="V141" s="8" t="s">
        <v>293</v>
      </c>
      <c r="W141" s="10"/>
      <c r="Y141" s="9"/>
      <c r="Z141" s="9"/>
    </row>
    <row r="142" spans="1:26" ht="14.4" x14ac:dyDescent="0.3">
      <c r="A142" s="16">
        <v>141</v>
      </c>
      <c r="B142" s="17">
        <v>2</v>
      </c>
      <c r="C142" s="17">
        <v>5</v>
      </c>
      <c r="D142" s="17">
        <v>1</v>
      </c>
      <c r="E142" s="17">
        <v>61</v>
      </c>
      <c r="F142" s="17" t="s">
        <v>26</v>
      </c>
      <c r="G142" s="18">
        <v>49.35</v>
      </c>
      <c r="H142" s="19">
        <v>7700000</v>
      </c>
      <c r="I142" s="19">
        <v>379995000</v>
      </c>
      <c r="J142" s="19">
        <v>75999000</v>
      </c>
      <c r="K142" s="19">
        <v>303996000</v>
      </c>
      <c r="L142" s="17" t="s">
        <v>27</v>
      </c>
      <c r="M142" s="20" t="s">
        <v>294</v>
      </c>
      <c r="N142" s="20" t="s">
        <v>295</v>
      </c>
      <c r="O142" s="20" t="s">
        <v>296</v>
      </c>
      <c r="P142" s="20" t="s">
        <v>201</v>
      </c>
      <c r="Q142" s="21">
        <v>45797</v>
      </c>
      <c r="R142" s="20">
        <v>932460432</v>
      </c>
      <c r="S142" s="20"/>
      <c r="T142" s="21">
        <v>46203</v>
      </c>
      <c r="U142" s="30" t="s">
        <v>102</v>
      </c>
      <c r="V142" s="8" t="s">
        <v>297</v>
      </c>
      <c r="W142" s="10" t="s">
        <v>169</v>
      </c>
      <c r="Y142" s="9" t="s">
        <v>262</v>
      </c>
      <c r="Z142" s="9"/>
    </row>
    <row r="143" spans="1:26" ht="14.4" x14ac:dyDescent="0.3">
      <c r="A143" s="24">
        <v>142</v>
      </c>
      <c r="B143" s="24">
        <v>2</v>
      </c>
      <c r="C143" s="24">
        <v>5</v>
      </c>
      <c r="D143" s="24">
        <v>1</v>
      </c>
      <c r="E143" s="24">
        <v>62</v>
      </c>
      <c r="F143" s="24" t="s">
        <v>26</v>
      </c>
      <c r="G143" s="25">
        <v>46.16</v>
      </c>
      <c r="H143" s="26">
        <v>7700000</v>
      </c>
      <c r="I143" s="26">
        <v>355432000</v>
      </c>
      <c r="J143" s="26">
        <v>71086400</v>
      </c>
      <c r="K143" s="26">
        <v>284345600</v>
      </c>
      <c r="L143" s="24" t="s">
        <v>27</v>
      </c>
      <c r="M143" s="27" t="s">
        <v>298</v>
      </c>
      <c r="N143" s="27" t="s">
        <v>299</v>
      </c>
      <c r="O143" s="27" t="s">
        <v>300</v>
      </c>
      <c r="P143" s="27" t="s">
        <v>201</v>
      </c>
      <c r="Q143" s="28">
        <v>45534</v>
      </c>
      <c r="R143" s="27">
        <v>774442552</v>
      </c>
      <c r="S143" s="27">
        <v>935252022</v>
      </c>
      <c r="T143" s="28">
        <v>46139</v>
      </c>
      <c r="U143" s="24" t="s">
        <v>301</v>
      </c>
      <c r="V143" s="8" t="s">
        <v>302</v>
      </c>
      <c r="W143" s="10" t="s">
        <v>42</v>
      </c>
      <c r="Y143" s="9" t="s">
        <v>303</v>
      </c>
      <c r="Z143" s="9"/>
    </row>
    <row r="144" spans="1:26" ht="14.4" x14ac:dyDescent="0.3">
      <c r="A144" s="16">
        <v>143</v>
      </c>
      <c r="B144" s="17">
        <v>2</v>
      </c>
      <c r="C144" s="17">
        <v>5</v>
      </c>
      <c r="D144" s="17">
        <v>1</v>
      </c>
      <c r="E144" s="17">
        <v>63</v>
      </c>
      <c r="F144" s="17" t="s">
        <v>26</v>
      </c>
      <c r="G144" s="18">
        <v>49.35</v>
      </c>
      <c r="H144" s="19">
        <v>7700000</v>
      </c>
      <c r="I144" s="19">
        <v>379995000</v>
      </c>
      <c r="J144" s="19">
        <v>75999000</v>
      </c>
      <c r="K144" s="19">
        <v>303996000</v>
      </c>
      <c r="L144" s="17" t="s">
        <v>148</v>
      </c>
      <c r="M144" s="20"/>
      <c r="N144" s="20"/>
      <c r="O144" s="20"/>
      <c r="P144" s="20"/>
      <c r="Q144" s="21"/>
      <c r="R144" s="20"/>
      <c r="S144" s="20"/>
      <c r="T144" s="21">
        <v>46190</v>
      </c>
      <c r="U144" s="30" t="s">
        <v>304</v>
      </c>
      <c r="V144" s="8" t="s">
        <v>305</v>
      </c>
      <c r="W144" s="10"/>
      <c r="Y144" s="9"/>
      <c r="Z144" s="9"/>
    </row>
    <row r="145" spans="1:26" ht="14.4" x14ac:dyDescent="0.3">
      <c r="A145" s="24">
        <v>144</v>
      </c>
      <c r="B145" s="24">
        <v>2</v>
      </c>
      <c r="C145" s="24">
        <v>5</v>
      </c>
      <c r="D145" s="24">
        <v>2</v>
      </c>
      <c r="E145" s="24">
        <v>64</v>
      </c>
      <c r="F145" s="24" t="s">
        <v>26</v>
      </c>
      <c r="G145" s="25">
        <v>49.35</v>
      </c>
      <c r="H145" s="26">
        <v>7800000</v>
      </c>
      <c r="I145" s="26">
        <v>384930000</v>
      </c>
      <c r="J145" s="26">
        <v>76986000</v>
      </c>
      <c r="K145" s="26">
        <v>307944000</v>
      </c>
      <c r="L145" s="24" t="s">
        <v>148</v>
      </c>
      <c r="M145" s="27"/>
      <c r="N145" s="27"/>
      <c r="O145" s="27"/>
      <c r="P145" s="27"/>
      <c r="Q145" s="28"/>
      <c r="R145" s="27"/>
      <c r="S145" s="27"/>
      <c r="T145" s="28"/>
      <c r="U145" s="24" t="s">
        <v>306</v>
      </c>
      <c r="V145" s="8" t="s">
        <v>307</v>
      </c>
      <c r="W145" s="10"/>
      <c r="Y145" s="9"/>
      <c r="Z145" s="9"/>
    </row>
    <row r="146" spans="1:26" ht="14.4" x14ac:dyDescent="0.3">
      <c r="A146" s="16">
        <v>145</v>
      </c>
      <c r="B146" s="17">
        <v>2</v>
      </c>
      <c r="C146" s="17">
        <v>5</v>
      </c>
      <c r="D146" s="17">
        <v>2</v>
      </c>
      <c r="E146" s="17">
        <v>65</v>
      </c>
      <c r="F146" s="17" t="s">
        <v>26</v>
      </c>
      <c r="G146" s="18">
        <v>46.16</v>
      </c>
      <c r="H146" s="19">
        <f t="array" ref="H146">INDEX(Settings!$B$3:$B$7, D146)</f>
        <v>7800000</v>
      </c>
      <c r="I146" s="19">
        <f t="shared" ref="I146:I153" si="35">G146*H146</f>
        <v>360048000</v>
      </c>
      <c r="J146" s="19">
        <f>I146*Settings!$B$2</f>
        <v>72009600</v>
      </c>
      <c r="K146" s="19">
        <f t="shared" ref="K146:K153" si="36">I146-J146</f>
        <v>288038400</v>
      </c>
      <c r="L146" s="17" t="s">
        <v>27</v>
      </c>
      <c r="M146" s="20" t="s">
        <v>308</v>
      </c>
      <c r="N146" s="20"/>
      <c r="O146" s="20"/>
      <c r="P146" s="20"/>
      <c r="Q146" s="21"/>
      <c r="R146" s="20">
        <v>950962278</v>
      </c>
      <c r="S146" s="20"/>
      <c r="T146" s="21"/>
      <c r="U146" s="30" t="str">
        <f t="shared" ref="U146:U153" si="37">TEXT(T146,"dd")&amp;"/"&amp;TEXT(E146,"00")</f>
        <v>dd/65</v>
      </c>
      <c r="V146" s="8" t="str">
        <f t="shared" ref="V146:V153" si="38">C146&amp;"-"&amp;E146</f>
        <v>5-65</v>
      </c>
      <c r="Y146" s="9"/>
      <c r="Z146" s="9"/>
    </row>
    <row r="147" spans="1:26" ht="14.4" x14ac:dyDescent="0.3">
      <c r="A147" s="24">
        <v>146</v>
      </c>
      <c r="B147" s="24">
        <v>2</v>
      </c>
      <c r="C147" s="24">
        <v>5</v>
      </c>
      <c r="D147" s="24">
        <v>2</v>
      </c>
      <c r="E147" s="24">
        <v>66</v>
      </c>
      <c r="F147" s="24" t="s">
        <v>26</v>
      </c>
      <c r="G147" s="25">
        <v>49.35</v>
      </c>
      <c r="H147" s="26">
        <f t="array" ref="H147">INDEX(Settings!$B$3:$B$7, D147)</f>
        <v>7800000</v>
      </c>
      <c r="I147" s="26">
        <f t="shared" si="35"/>
        <v>384930000</v>
      </c>
      <c r="J147" s="26">
        <f>I147*Settings!$B$2</f>
        <v>76986000</v>
      </c>
      <c r="K147" s="26">
        <f t="shared" si="36"/>
        <v>307944000</v>
      </c>
      <c r="L147" s="24" t="s">
        <v>27</v>
      </c>
      <c r="M147" s="27" t="s">
        <v>309</v>
      </c>
      <c r="N147" s="27"/>
      <c r="O147" s="27"/>
      <c r="P147" s="27"/>
      <c r="Q147" s="28"/>
      <c r="R147" s="27">
        <v>990827323</v>
      </c>
      <c r="S147" s="27">
        <v>946430328</v>
      </c>
      <c r="T147" s="28"/>
      <c r="U147" s="24" t="str">
        <f t="shared" si="37"/>
        <v>dd/66</v>
      </c>
      <c r="V147" s="8" t="str">
        <f t="shared" si="38"/>
        <v>5-66</v>
      </c>
      <c r="W147" s="10" t="s">
        <v>42</v>
      </c>
      <c r="Y147" s="9"/>
      <c r="Z147" s="9"/>
    </row>
    <row r="148" spans="1:26" ht="14.4" x14ac:dyDescent="0.3">
      <c r="A148" s="16">
        <v>147</v>
      </c>
      <c r="B148" s="17">
        <v>2</v>
      </c>
      <c r="C148" s="17">
        <v>5</v>
      </c>
      <c r="D148" s="17">
        <v>3</v>
      </c>
      <c r="E148" s="17">
        <v>67</v>
      </c>
      <c r="F148" s="17" t="s">
        <v>26</v>
      </c>
      <c r="G148" s="18">
        <v>49.35</v>
      </c>
      <c r="H148" s="19">
        <v>7300000</v>
      </c>
      <c r="I148" s="19">
        <f t="shared" si="35"/>
        <v>360255000</v>
      </c>
      <c r="J148" s="19">
        <f>I148*Settings!$B$2</f>
        <v>72051000</v>
      </c>
      <c r="K148" s="19">
        <f t="shared" si="36"/>
        <v>288204000</v>
      </c>
      <c r="L148" s="17" t="s">
        <v>27</v>
      </c>
      <c r="M148" s="20" t="s">
        <v>310</v>
      </c>
      <c r="N148" s="20"/>
      <c r="O148" s="20"/>
      <c r="P148" s="20"/>
      <c r="Q148" s="34"/>
      <c r="R148" s="20"/>
      <c r="S148" s="20"/>
      <c r="T148" s="21"/>
      <c r="U148" s="30" t="str">
        <f t="shared" si="37"/>
        <v>dd/67</v>
      </c>
      <c r="V148" s="8" t="str">
        <f t="shared" si="38"/>
        <v>5-67</v>
      </c>
      <c r="Y148" s="9"/>
      <c r="Z148" s="9"/>
    </row>
    <row r="149" spans="1:26" ht="14.4" x14ac:dyDescent="0.3">
      <c r="A149" s="24">
        <v>148</v>
      </c>
      <c r="B149" s="24">
        <v>2</v>
      </c>
      <c r="C149" s="24">
        <v>5</v>
      </c>
      <c r="D149" s="24">
        <v>3</v>
      </c>
      <c r="E149" s="24">
        <v>68</v>
      </c>
      <c r="F149" s="24" t="s">
        <v>26</v>
      </c>
      <c r="G149" s="25">
        <v>46.16</v>
      </c>
      <c r="H149" s="26">
        <f t="array" ref="H149">INDEX(Settings!$B$3:$B$7, D149)</f>
        <v>7300000</v>
      </c>
      <c r="I149" s="26">
        <f t="shared" si="35"/>
        <v>336968000</v>
      </c>
      <c r="J149" s="26">
        <f>I149*Settings!$B$2</f>
        <v>67393600</v>
      </c>
      <c r="K149" s="26">
        <f t="shared" si="36"/>
        <v>269574400</v>
      </c>
      <c r="L149" s="24" t="s">
        <v>27</v>
      </c>
      <c r="M149" s="27" t="s">
        <v>311</v>
      </c>
      <c r="N149" s="27"/>
      <c r="O149" s="27"/>
      <c r="P149" s="27"/>
      <c r="Q149" s="28"/>
      <c r="R149" s="27"/>
      <c r="S149" s="27"/>
      <c r="T149" s="28"/>
      <c r="U149" s="24" t="str">
        <f t="shared" si="37"/>
        <v>dd/68</v>
      </c>
      <c r="V149" s="8" t="str">
        <f t="shared" si="38"/>
        <v>5-68</v>
      </c>
      <c r="Y149" s="9"/>
      <c r="Z149" s="9"/>
    </row>
    <row r="150" spans="1:26" ht="14.4" x14ac:dyDescent="0.3">
      <c r="A150" s="16">
        <v>149</v>
      </c>
      <c r="B150" s="17">
        <v>2</v>
      </c>
      <c r="C150" s="17">
        <v>5</v>
      </c>
      <c r="D150" s="17">
        <v>3</v>
      </c>
      <c r="E150" s="17">
        <v>69</v>
      </c>
      <c r="F150" s="17" t="s">
        <v>26</v>
      </c>
      <c r="G150" s="18">
        <v>49.35</v>
      </c>
      <c r="H150" s="19">
        <f t="array" ref="H150">INDEX(Settings!$B$3:$B$7, D150)</f>
        <v>7300000</v>
      </c>
      <c r="I150" s="19">
        <f t="shared" si="35"/>
        <v>360255000</v>
      </c>
      <c r="J150" s="19">
        <f>I150*Settings!$B$2</f>
        <v>72051000</v>
      </c>
      <c r="K150" s="19">
        <f t="shared" si="36"/>
        <v>288204000</v>
      </c>
      <c r="L150" s="17" t="s">
        <v>27</v>
      </c>
      <c r="M150" s="20" t="s">
        <v>312</v>
      </c>
      <c r="N150" s="20"/>
      <c r="O150" s="20"/>
      <c r="P150" s="20"/>
      <c r="Q150" s="21"/>
      <c r="R150" s="20"/>
      <c r="S150" s="20"/>
      <c r="T150" s="21"/>
      <c r="U150" s="30" t="str">
        <f t="shared" si="37"/>
        <v>dd/69</v>
      </c>
      <c r="V150" s="8" t="str">
        <f t="shared" si="38"/>
        <v>5-69</v>
      </c>
      <c r="Y150" s="9"/>
      <c r="Z150" s="9"/>
    </row>
    <row r="151" spans="1:26" ht="14.4" x14ac:dyDescent="0.3">
      <c r="A151" s="24">
        <v>150</v>
      </c>
      <c r="B151" s="24">
        <v>2</v>
      </c>
      <c r="C151" s="24">
        <v>5</v>
      </c>
      <c r="D151" s="24">
        <v>4</v>
      </c>
      <c r="E151" s="24">
        <v>70</v>
      </c>
      <c r="F151" s="24" t="s">
        <v>26</v>
      </c>
      <c r="G151" s="25">
        <v>49.35</v>
      </c>
      <c r="H151" s="26">
        <f t="array" ref="H151">INDEX(Settings!$B$3:$B$7, D151)</f>
        <v>7000000</v>
      </c>
      <c r="I151" s="26">
        <f t="shared" si="35"/>
        <v>345450000</v>
      </c>
      <c r="J151" s="26">
        <f>I151*Settings!$B$2</f>
        <v>69090000</v>
      </c>
      <c r="K151" s="26">
        <f t="shared" si="36"/>
        <v>276360000</v>
      </c>
      <c r="L151" s="24" t="s">
        <v>27</v>
      </c>
      <c r="M151" s="27" t="s">
        <v>313</v>
      </c>
      <c r="N151" s="27" t="s">
        <v>314</v>
      </c>
      <c r="O151" s="27" t="s">
        <v>315</v>
      </c>
      <c r="P151" s="27" t="s">
        <v>187</v>
      </c>
      <c r="Q151" s="28">
        <v>43264</v>
      </c>
      <c r="R151" s="27">
        <v>976221231</v>
      </c>
      <c r="S151" s="27">
        <v>878041131</v>
      </c>
      <c r="T151" s="28">
        <v>46114</v>
      </c>
      <c r="U151" s="24" t="str">
        <f t="shared" si="37"/>
        <v>dd/70</v>
      </c>
      <c r="V151" s="8" t="str">
        <f t="shared" si="38"/>
        <v>5-70</v>
      </c>
      <c r="Y151" s="9"/>
      <c r="Z151" s="9"/>
    </row>
    <row r="152" spans="1:26" ht="14.4" x14ac:dyDescent="0.3">
      <c r="A152" s="16">
        <v>151</v>
      </c>
      <c r="B152" s="17">
        <v>2</v>
      </c>
      <c r="C152" s="17">
        <v>5</v>
      </c>
      <c r="D152" s="17">
        <v>4</v>
      </c>
      <c r="E152" s="17">
        <v>71</v>
      </c>
      <c r="F152" s="17" t="s">
        <v>26</v>
      </c>
      <c r="G152" s="18">
        <v>46.16</v>
      </c>
      <c r="H152" s="19">
        <f t="array" ref="H152">INDEX(Settings!$B$3:$B$7, D152)</f>
        <v>7000000</v>
      </c>
      <c r="I152" s="19">
        <f t="shared" si="35"/>
        <v>323120000</v>
      </c>
      <c r="J152" s="19">
        <f>I152*Settings!$B$2</f>
        <v>64624000</v>
      </c>
      <c r="K152" s="19">
        <f t="shared" si="36"/>
        <v>258496000</v>
      </c>
      <c r="L152" s="17" t="s">
        <v>27</v>
      </c>
      <c r="M152" s="20" t="s">
        <v>316</v>
      </c>
      <c r="N152" s="20"/>
      <c r="O152" s="20"/>
      <c r="P152" s="20"/>
      <c r="Q152" s="21"/>
      <c r="R152" s="20"/>
      <c r="S152" s="20"/>
      <c r="T152" s="21"/>
      <c r="U152" s="30" t="str">
        <f t="shared" si="37"/>
        <v>dd/71</v>
      </c>
      <c r="V152" s="8" t="str">
        <f t="shared" si="38"/>
        <v>5-71</v>
      </c>
      <c r="Y152" s="9"/>
      <c r="Z152" s="9"/>
    </row>
    <row r="153" spans="1:26" ht="14.4" x14ac:dyDescent="0.3">
      <c r="A153" s="24">
        <v>152</v>
      </c>
      <c r="B153" s="24">
        <v>2</v>
      </c>
      <c r="C153" s="24">
        <v>5</v>
      </c>
      <c r="D153" s="24">
        <v>4</v>
      </c>
      <c r="E153" s="24">
        <v>72</v>
      </c>
      <c r="F153" s="24" t="s">
        <v>26</v>
      </c>
      <c r="G153" s="25">
        <v>49.35</v>
      </c>
      <c r="H153" s="26">
        <f t="array" ref="H153">INDEX(Settings!$B$3:$B$7, D153)</f>
        <v>7000000</v>
      </c>
      <c r="I153" s="26">
        <f t="shared" si="35"/>
        <v>345450000</v>
      </c>
      <c r="J153" s="26">
        <f>I153*Settings!$B$2</f>
        <v>69090000</v>
      </c>
      <c r="K153" s="26">
        <f t="shared" si="36"/>
        <v>276360000</v>
      </c>
      <c r="L153" s="24" t="s">
        <v>27</v>
      </c>
      <c r="M153" s="27" t="s">
        <v>317</v>
      </c>
      <c r="N153" s="27" t="s">
        <v>318</v>
      </c>
      <c r="O153" s="27" t="s">
        <v>319</v>
      </c>
      <c r="P153" s="27" t="s">
        <v>320</v>
      </c>
      <c r="Q153" s="28">
        <v>45896</v>
      </c>
      <c r="R153" s="27" t="s">
        <v>321</v>
      </c>
      <c r="S153" s="27"/>
      <c r="T153" s="28">
        <v>46115</v>
      </c>
      <c r="U153" s="24" t="str">
        <f t="shared" si="37"/>
        <v>dd/72</v>
      </c>
      <c r="V153" s="8" t="str">
        <f t="shared" si="38"/>
        <v>5-72</v>
      </c>
      <c r="Y153" s="9"/>
      <c r="Z153" s="9"/>
    </row>
    <row r="154" spans="1:26" ht="14.4" x14ac:dyDescent="0.3">
      <c r="A154" s="16">
        <v>153</v>
      </c>
      <c r="B154" s="17">
        <v>2</v>
      </c>
      <c r="C154" s="17">
        <v>5</v>
      </c>
      <c r="D154" s="17">
        <v>5</v>
      </c>
      <c r="E154" s="17">
        <v>73</v>
      </c>
      <c r="F154" s="17" t="s">
        <v>26</v>
      </c>
      <c r="G154" s="18">
        <v>49.35</v>
      </c>
      <c r="H154" s="19">
        <v>6700000</v>
      </c>
      <c r="I154" s="19">
        <v>330645000</v>
      </c>
      <c r="J154" s="19">
        <v>66129000</v>
      </c>
      <c r="K154" s="19">
        <v>264516000</v>
      </c>
      <c r="L154" s="17" t="s">
        <v>27</v>
      </c>
      <c r="M154" s="20" t="s">
        <v>322</v>
      </c>
      <c r="N154" s="20" t="s">
        <v>323</v>
      </c>
      <c r="O154" s="20" t="s">
        <v>324</v>
      </c>
      <c r="P154" s="20" t="s">
        <v>201</v>
      </c>
      <c r="Q154" s="21">
        <v>43318</v>
      </c>
      <c r="R154" s="20">
        <v>878058985</v>
      </c>
      <c r="S154" s="20">
        <v>888630111</v>
      </c>
      <c r="T154" s="21">
        <v>46175</v>
      </c>
      <c r="U154" s="30" t="s">
        <v>325</v>
      </c>
      <c r="V154" s="8" t="s">
        <v>326</v>
      </c>
      <c r="W154" s="10" t="s">
        <v>169</v>
      </c>
      <c r="Y154" s="9"/>
      <c r="Z154" s="9"/>
    </row>
    <row r="155" spans="1:26" ht="14.4" x14ac:dyDescent="0.3">
      <c r="A155" s="24">
        <v>154</v>
      </c>
      <c r="B155" s="24">
        <v>2</v>
      </c>
      <c r="C155" s="24">
        <v>5</v>
      </c>
      <c r="D155" s="24">
        <v>5</v>
      </c>
      <c r="E155" s="24">
        <v>74</v>
      </c>
      <c r="F155" s="24" t="s">
        <v>26</v>
      </c>
      <c r="G155" s="25">
        <v>46.16</v>
      </c>
      <c r="H155" s="26">
        <f t="array" ref="H155">INDEX(Settings!$B$3:$B$7, D155)</f>
        <v>6700000</v>
      </c>
      <c r="I155" s="26">
        <f>G155*H155</f>
        <v>309272000</v>
      </c>
      <c r="J155" s="26">
        <f>I155*Settings!$B$2</f>
        <v>61854400</v>
      </c>
      <c r="K155" s="26">
        <f>I155-J155</f>
        <v>247417600</v>
      </c>
      <c r="L155" s="24" t="s">
        <v>27</v>
      </c>
      <c r="M155" s="27" t="s">
        <v>327</v>
      </c>
      <c r="N155" s="27" t="s">
        <v>328</v>
      </c>
      <c r="O155" s="27" t="s">
        <v>329</v>
      </c>
      <c r="P155" s="27" t="s">
        <v>330</v>
      </c>
      <c r="Q155" s="28"/>
      <c r="R155" s="27"/>
      <c r="S155" s="27"/>
      <c r="T155" s="28"/>
      <c r="U155" s="24" t="str">
        <f>TEXT(T155,"dd")&amp;"/"&amp;TEXT(E155,"00")</f>
        <v>dd/74</v>
      </c>
      <c r="V155" s="8" t="str">
        <f>C155&amp;"-"&amp;E155</f>
        <v>5-74</v>
      </c>
      <c r="Y155" s="9"/>
      <c r="Z155" s="9"/>
    </row>
    <row r="156" spans="1:26" ht="14.4" x14ac:dyDescent="0.3">
      <c r="A156" s="16">
        <v>155</v>
      </c>
      <c r="B156" s="17">
        <v>2</v>
      </c>
      <c r="C156" s="17">
        <v>5</v>
      </c>
      <c r="D156" s="17">
        <v>5</v>
      </c>
      <c r="E156" s="17">
        <v>75</v>
      </c>
      <c r="F156" s="17" t="s">
        <v>26</v>
      </c>
      <c r="G156" s="18">
        <v>49.35</v>
      </c>
      <c r="H156" s="19">
        <v>6700000</v>
      </c>
      <c r="I156" s="19">
        <v>330645000</v>
      </c>
      <c r="J156" s="19">
        <v>66129000</v>
      </c>
      <c r="K156" s="19">
        <v>264516000</v>
      </c>
      <c r="L156" s="17" t="s">
        <v>148</v>
      </c>
      <c r="M156" s="20"/>
      <c r="N156" s="20"/>
      <c r="O156" s="20"/>
      <c r="P156" s="20"/>
      <c r="Q156" s="21"/>
      <c r="R156" s="20"/>
      <c r="S156" s="20"/>
      <c r="T156" s="21">
        <v>46195</v>
      </c>
      <c r="U156" s="30" t="s">
        <v>331</v>
      </c>
      <c r="V156" s="8" t="s">
        <v>332</v>
      </c>
      <c r="W156" s="10"/>
      <c r="Y156" s="9"/>
      <c r="Z156" s="9"/>
    </row>
    <row r="157" spans="1:26" ht="14.4" x14ac:dyDescent="0.3">
      <c r="A157" s="24">
        <v>156</v>
      </c>
      <c r="B157" s="24">
        <v>2</v>
      </c>
      <c r="C157" s="24">
        <v>6</v>
      </c>
      <c r="D157" s="24">
        <v>1</v>
      </c>
      <c r="E157" s="24">
        <v>76</v>
      </c>
      <c r="F157" s="24" t="s">
        <v>26</v>
      </c>
      <c r="G157" s="25">
        <v>49.35</v>
      </c>
      <c r="H157" s="26">
        <v>7700000</v>
      </c>
      <c r="I157" s="26">
        <v>379995000</v>
      </c>
      <c r="J157" s="26">
        <v>75999000</v>
      </c>
      <c r="K157" s="26">
        <v>303996000</v>
      </c>
      <c r="L157" s="24" t="s">
        <v>148</v>
      </c>
      <c r="M157" s="27"/>
      <c r="N157" s="27"/>
      <c r="O157" s="27"/>
      <c r="P157" s="27"/>
      <c r="Q157" s="28"/>
      <c r="R157" s="27"/>
      <c r="S157" s="27"/>
      <c r="T157" s="28">
        <v>46176</v>
      </c>
      <c r="U157" s="24" t="s">
        <v>333</v>
      </c>
      <c r="V157" s="8" t="s">
        <v>334</v>
      </c>
      <c r="W157" s="10"/>
      <c r="Y157" s="9"/>
      <c r="Z157" s="9"/>
    </row>
    <row r="158" spans="1:26" ht="14.4" x14ac:dyDescent="0.3">
      <c r="A158" s="16">
        <v>157</v>
      </c>
      <c r="B158" s="17">
        <v>2</v>
      </c>
      <c r="C158" s="17">
        <v>6</v>
      </c>
      <c r="D158" s="17">
        <v>1</v>
      </c>
      <c r="E158" s="17">
        <v>77</v>
      </c>
      <c r="F158" s="17" t="s">
        <v>26</v>
      </c>
      <c r="G158" s="18">
        <v>46.16</v>
      </c>
      <c r="H158" s="19">
        <v>7700000</v>
      </c>
      <c r="I158" s="19">
        <v>355432000</v>
      </c>
      <c r="J158" s="19">
        <v>71086400</v>
      </c>
      <c r="K158" s="19">
        <v>284345600</v>
      </c>
      <c r="L158" s="17" t="s">
        <v>27</v>
      </c>
      <c r="M158" s="20" t="s">
        <v>335</v>
      </c>
      <c r="N158" s="20" t="s">
        <v>336</v>
      </c>
      <c r="O158" s="20" t="s">
        <v>337</v>
      </c>
      <c r="P158" s="20" t="s">
        <v>126</v>
      </c>
      <c r="Q158" s="21">
        <v>45812</v>
      </c>
      <c r="R158" s="20">
        <v>992690091</v>
      </c>
      <c r="S158" s="20">
        <v>908909111</v>
      </c>
      <c r="T158" s="21">
        <v>46148</v>
      </c>
      <c r="U158" s="30" t="s">
        <v>338</v>
      </c>
      <c r="V158" s="8" t="s">
        <v>339</v>
      </c>
      <c r="W158" s="10" t="s">
        <v>42</v>
      </c>
      <c r="Y158" s="9"/>
      <c r="Z158" s="9"/>
    </row>
    <row r="159" spans="1:26" ht="14.4" x14ac:dyDescent="0.3">
      <c r="A159" s="24">
        <v>158</v>
      </c>
      <c r="B159" s="24">
        <v>2</v>
      </c>
      <c r="C159" s="24">
        <v>6</v>
      </c>
      <c r="D159" s="24">
        <v>1</v>
      </c>
      <c r="E159" s="24">
        <v>78</v>
      </c>
      <c r="F159" s="24" t="s">
        <v>26</v>
      </c>
      <c r="G159" s="25">
        <v>49.35</v>
      </c>
      <c r="H159" s="26">
        <f t="array" ref="H159">INDEX(Settings!$B$3:$B$7, D159)</f>
        <v>7700000</v>
      </c>
      <c r="I159" s="26">
        <f t="shared" ref="I159:I161" si="39">G159*H159</f>
        <v>379995000</v>
      </c>
      <c r="J159" s="26">
        <f>I159*Settings!$B$2</f>
        <v>75999000</v>
      </c>
      <c r="K159" s="26">
        <f t="shared" ref="K159:K161" si="40">I159-J159</f>
        <v>303996000</v>
      </c>
      <c r="L159" s="24" t="s">
        <v>291</v>
      </c>
      <c r="M159" s="27"/>
      <c r="N159" s="27"/>
      <c r="O159" s="27"/>
      <c r="P159" s="27"/>
      <c r="Q159" s="28"/>
      <c r="R159" s="27"/>
      <c r="S159" s="27"/>
      <c r="T159" s="28"/>
      <c r="U159" s="24" t="str">
        <f t="shared" ref="U159:U161" si="41">TEXT(T159,"dd")&amp;"/"&amp;TEXT(E159,"00")</f>
        <v>dd/78</v>
      </c>
      <c r="V159" s="8" t="str">
        <f t="shared" ref="V159:V161" si="42">C159&amp;"-"&amp;E159</f>
        <v>6-78</v>
      </c>
      <c r="Y159" s="9"/>
      <c r="Z159" s="9"/>
    </row>
    <row r="160" spans="1:26" ht="14.4" x14ac:dyDescent="0.3">
      <c r="A160" s="16">
        <v>159</v>
      </c>
      <c r="B160" s="17">
        <v>2</v>
      </c>
      <c r="C160" s="17">
        <v>6</v>
      </c>
      <c r="D160" s="17">
        <v>2</v>
      </c>
      <c r="E160" s="17">
        <v>79</v>
      </c>
      <c r="F160" s="17" t="s">
        <v>26</v>
      </c>
      <c r="G160" s="18">
        <v>49.35</v>
      </c>
      <c r="H160" s="19">
        <f t="array" ref="H160">INDEX(Settings!$B$3:$B$7, D160)</f>
        <v>7800000</v>
      </c>
      <c r="I160" s="19">
        <f t="shared" si="39"/>
        <v>384930000</v>
      </c>
      <c r="J160" s="19">
        <f>I160*Settings!$B$2</f>
        <v>76986000</v>
      </c>
      <c r="K160" s="19">
        <f t="shared" si="40"/>
        <v>307944000</v>
      </c>
      <c r="L160" s="17" t="s">
        <v>291</v>
      </c>
      <c r="M160" s="20"/>
      <c r="N160" s="20"/>
      <c r="O160" s="20"/>
      <c r="P160" s="20"/>
      <c r="Q160" s="21"/>
      <c r="R160" s="20"/>
      <c r="S160" s="20"/>
      <c r="T160" s="21"/>
      <c r="U160" s="30" t="str">
        <f t="shared" si="41"/>
        <v>dd/79</v>
      </c>
      <c r="V160" s="8" t="str">
        <f t="shared" si="42"/>
        <v>6-79</v>
      </c>
      <c r="Y160" s="9"/>
      <c r="Z160" s="9"/>
    </row>
    <row r="161" spans="1:26" ht="14.4" x14ac:dyDescent="0.3">
      <c r="A161" s="24">
        <v>160</v>
      </c>
      <c r="B161" s="24">
        <v>2</v>
      </c>
      <c r="C161" s="24">
        <v>6</v>
      </c>
      <c r="D161" s="24">
        <v>2</v>
      </c>
      <c r="E161" s="24">
        <v>80</v>
      </c>
      <c r="F161" s="24" t="s">
        <v>26</v>
      </c>
      <c r="G161" s="25">
        <v>46.16</v>
      </c>
      <c r="H161" s="26">
        <f t="array" ref="H161">INDEX(Settings!$B$3:$B$7, D161)</f>
        <v>7800000</v>
      </c>
      <c r="I161" s="26">
        <f t="shared" si="39"/>
        <v>360048000</v>
      </c>
      <c r="J161" s="26">
        <f>I161*Settings!$B$2</f>
        <v>72009600</v>
      </c>
      <c r="K161" s="26">
        <f t="shared" si="40"/>
        <v>288038400</v>
      </c>
      <c r="L161" s="24" t="s">
        <v>27</v>
      </c>
      <c r="M161" s="27" t="s">
        <v>340</v>
      </c>
      <c r="N161" s="27" t="s">
        <v>341</v>
      </c>
      <c r="O161" s="27" t="s">
        <v>342</v>
      </c>
      <c r="P161" s="27" t="s">
        <v>343</v>
      </c>
      <c r="Q161" s="28">
        <v>46185</v>
      </c>
      <c r="R161" s="27" t="s">
        <v>344</v>
      </c>
      <c r="S161" s="27" t="s">
        <v>345</v>
      </c>
      <c r="T161" s="28">
        <v>46112</v>
      </c>
      <c r="U161" s="24" t="str">
        <f t="shared" si="41"/>
        <v>dd/80</v>
      </c>
      <c r="V161" s="8" t="str">
        <f t="shared" si="42"/>
        <v>6-80</v>
      </c>
      <c r="Y161" s="9"/>
      <c r="Z161" s="9"/>
    </row>
    <row r="162" spans="1:26" ht="14.4" x14ac:dyDescent="0.3">
      <c r="A162" s="16">
        <v>161</v>
      </c>
      <c r="B162" s="17">
        <v>2</v>
      </c>
      <c r="C162" s="17">
        <v>6</v>
      </c>
      <c r="D162" s="17">
        <v>2</v>
      </c>
      <c r="E162" s="17">
        <v>81</v>
      </c>
      <c r="F162" s="17" t="s">
        <v>26</v>
      </c>
      <c r="G162" s="18">
        <v>49.35</v>
      </c>
      <c r="H162" s="19">
        <v>7800000</v>
      </c>
      <c r="I162" s="19">
        <v>384930000</v>
      </c>
      <c r="J162" s="19">
        <v>76986000</v>
      </c>
      <c r="K162" s="19">
        <v>307944000</v>
      </c>
      <c r="L162" s="17" t="s">
        <v>27</v>
      </c>
      <c r="M162" s="20" t="s">
        <v>346</v>
      </c>
      <c r="N162" s="20" t="s">
        <v>347</v>
      </c>
      <c r="O162" s="20" t="s">
        <v>348</v>
      </c>
      <c r="P162" s="20" t="s">
        <v>195</v>
      </c>
      <c r="Q162" s="21">
        <v>45189</v>
      </c>
      <c r="R162" s="20">
        <v>939052555</v>
      </c>
      <c r="S162" s="20">
        <v>935212370</v>
      </c>
      <c r="T162" s="21">
        <v>46166</v>
      </c>
      <c r="U162" s="30" t="s">
        <v>349</v>
      </c>
      <c r="V162" s="8" t="s">
        <v>350</v>
      </c>
      <c r="W162" s="10" t="s">
        <v>42</v>
      </c>
      <c r="Y162" s="9"/>
      <c r="Z162" s="9"/>
    </row>
    <row r="163" spans="1:26" ht="14.4" x14ac:dyDescent="0.3">
      <c r="A163" s="24">
        <v>162</v>
      </c>
      <c r="B163" s="24">
        <v>2</v>
      </c>
      <c r="C163" s="24">
        <v>6</v>
      </c>
      <c r="D163" s="24">
        <v>3</v>
      </c>
      <c r="E163" s="24">
        <v>82</v>
      </c>
      <c r="F163" s="24" t="s">
        <v>26</v>
      </c>
      <c r="G163" s="25">
        <v>49.35</v>
      </c>
      <c r="H163" s="26">
        <f t="array" ref="H163">INDEX(Settings!$B$3:$B$7, D163)</f>
        <v>7300000</v>
      </c>
      <c r="I163" s="26">
        <f t="shared" ref="I163:I172" si="43">G163*H163</f>
        <v>360255000</v>
      </c>
      <c r="J163" s="26">
        <f>I163*Settings!$B$2</f>
        <v>72051000</v>
      </c>
      <c r="K163" s="26">
        <f t="shared" ref="K163:K172" si="44">I163-J163</f>
        <v>288204000</v>
      </c>
      <c r="L163" s="24" t="s">
        <v>27</v>
      </c>
      <c r="M163" s="27" t="s">
        <v>351</v>
      </c>
      <c r="N163" s="27"/>
      <c r="O163" s="27"/>
      <c r="P163" s="27"/>
      <c r="Q163" s="28"/>
      <c r="R163" s="27"/>
      <c r="S163" s="27"/>
      <c r="T163" s="28"/>
      <c r="U163" s="24" t="str">
        <f t="shared" ref="U163:U172" si="45">TEXT(T163,"dd")&amp;"/"&amp;TEXT(E163,"00")</f>
        <v>dd/82</v>
      </c>
      <c r="V163" s="8" t="str">
        <f t="shared" ref="V163:V172" si="46">C163&amp;"-"&amp;E163</f>
        <v>6-82</v>
      </c>
      <c r="Y163" s="9"/>
      <c r="Z163" s="9"/>
    </row>
    <row r="164" spans="1:26" ht="14.4" x14ac:dyDescent="0.3">
      <c r="A164" s="16">
        <v>163</v>
      </c>
      <c r="B164" s="17">
        <v>2</v>
      </c>
      <c r="C164" s="17">
        <v>6</v>
      </c>
      <c r="D164" s="17">
        <v>3</v>
      </c>
      <c r="E164" s="17">
        <v>83</v>
      </c>
      <c r="F164" s="17" t="s">
        <v>26</v>
      </c>
      <c r="G164" s="18">
        <v>46.16</v>
      </c>
      <c r="H164" s="19">
        <f t="array" ref="H164">INDEX(Settings!$B$3:$B$7, D164)</f>
        <v>7300000</v>
      </c>
      <c r="I164" s="19">
        <f t="shared" si="43"/>
        <v>336968000</v>
      </c>
      <c r="J164" s="19">
        <f>I164*Settings!$B$2</f>
        <v>67393600</v>
      </c>
      <c r="K164" s="19">
        <f t="shared" si="44"/>
        <v>269574400</v>
      </c>
      <c r="L164" s="17" t="s">
        <v>27</v>
      </c>
      <c r="M164" s="20" t="s">
        <v>352</v>
      </c>
      <c r="N164" s="20"/>
      <c r="O164" s="20"/>
      <c r="P164" s="20"/>
      <c r="Q164" s="21"/>
      <c r="R164" s="20"/>
      <c r="S164" s="20"/>
      <c r="T164" s="21"/>
      <c r="U164" s="30" t="str">
        <f t="shared" si="45"/>
        <v>dd/83</v>
      </c>
      <c r="V164" s="8" t="str">
        <f t="shared" si="46"/>
        <v>6-83</v>
      </c>
      <c r="Y164" s="9"/>
      <c r="Z164" s="9"/>
    </row>
    <row r="165" spans="1:26" ht="14.4" x14ac:dyDescent="0.3">
      <c r="A165" s="24">
        <v>164</v>
      </c>
      <c r="B165" s="24">
        <v>2</v>
      </c>
      <c r="C165" s="24">
        <v>6</v>
      </c>
      <c r="D165" s="24">
        <v>3</v>
      </c>
      <c r="E165" s="24">
        <v>84</v>
      </c>
      <c r="F165" s="24" t="s">
        <v>26</v>
      </c>
      <c r="G165" s="25">
        <v>49.35</v>
      </c>
      <c r="H165" s="26">
        <f t="array" ref="H165">INDEX(Settings!$B$3:$B$7, D165)</f>
        <v>7300000</v>
      </c>
      <c r="I165" s="26">
        <f t="shared" si="43"/>
        <v>360255000</v>
      </c>
      <c r="J165" s="26">
        <f>I165*Settings!$B$2</f>
        <v>72051000</v>
      </c>
      <c r="K165" s="26">
        <f t="shared" si="44"/>
        <v>288204000</v>
      </c>
      <c r="L165" s="24" t="s">
        <v>27</v>
      </c>
      <c r="M165" s="27" t="s">
        <v>353</v>
      </c>
      <c r="N165" s="27"/>
      <c r="O165" s="27"/>
      <c r="P165" s="27"/>
      <c r="Q165" s="28"/>
      <c r="R165" s="27"/>
      <c r="S165" s="27"/>
      <c r="T165" s="28"/>
      <c r="U165" s="24" t="str">
        <f t="shared" si="45"/>
        <v>dd/84</v>
      </c>
      <c r="V165" s="8" t="str">
        <f t="shared" si="46"/>
        <v>6-84</v>
      </c>
      <c r="Y165" s="9"/>
      <c r="Z165" s="9"/>
    </row>
    <row r="166" spans="1:26" ht="14.4" x14ac:dyDescent="0.3">
      <c r="A166" s="16">
        <v>165</v>
      </c>
      <c r="B166" s="17">
        <v>2</v>
      </c>
      <c r="C166" s="17">
        <v>6</v>
      </c>
      <c r="D166" s="17">
        <v>4</v>
      </c>
      <c r="E166" s="17">
        <v>85</v>
      </c>
      <c r="F166" s="17" t="s">
        <v>26</v>
      </c>
      <c r="G166" s="18">
        <v>49.35</v>
      </c>
      <c r="H166" s="19">
        <f t="array" ref="H166">INDEX(Settings!$B$3:$B$7, D166)</f>
        <v>7000000</v>
      </c>
      <c r="I166" s="19">
        <f t="shared" si="43"/>
        <v>345450000</v>
      </c>
      <c r="J166" s="19">
        <f>I166*Settings!$B$2</f>
        <v>69090000</v>
      </c>
      <c r="K166" s="19">
        <f t="shared" si="44"/>
        <v>276360000</v>
      </c>
      <c r="L166" s="17" t="s">
        <v>27</v>
      </c>
      <c r="M166" s="20" t="s">
        <v>354</v>
      </c>
      <c r="N166" s="20"/>
      <c r="O166" s="20"/>
      <c r="P166" s="20"/>
      <c r="Q166" s="21"/>
      <c r="R166" s="20"/>
      <c r="S166" s="20"/>
      <c r="T166" s="21"/>
      <c r="U166" s="30" t="str">
        <f t="shared" si="45"/>
        <v>dd/85</v>
      </c>
      <c r="V166" s="8" t="str">
        <f t="shared" si="46"/>
        <v>6-85</v>
      </c>
      <c r="Y166" s="9"/>
      <c r="Z166" s="9"/>
    </row>
    <row r="167" spans="1:26" ht="14.4" x14ac:dyDescent="0.3">
      <c r="A167" s="24">
        <v>166</v>
      </c>
      <c r="B167" s="24">
        <v>2</v>
      </c>
      <c r="C167" s="24">
        <v>6</v>
      </c>
      <c r="D167" s="24">
        <v>4</v>
      </c>
      <c r="E167" s="24">
        <v>86</v>
      </c>
      <c r="F167" s="24" t="s">
        <v>26</v>
      </c>
      <c r="G167" s="25">
        <v>46.16</v>
      </c>
      <c r="H167" s="26">
        <f t="array" ref="H167">INDEX(Settings!$B$3:$B$7, D167)</f>
        <v>7000000</v>
      </c>
      <c r="I167" s="26">
        <f t="shared" si="43"/>
        <v>323120000</v>
      </c>
      <c r="J167" s="26">
        <f>I167*Settings!$B$2</f>
        <v>64624000</v>
      </c>
      <c r="K167" s="26">
        <f t="shared" si="44"/>
        <v>258496000</v>
      </c>
      <c r="L167" s="24" t="s">
        <v>27</v>
      </c>
      <c r="M167" s="27" t="s">
        <v>355</v>
      </c>
      <c r="N167" s="27"/>
      <c r="O167" s="27"/>
      <c r="P167" s="27"/>
      <c r="Q167" s="28"/>
      <c r="R167" s="27"/>
      <c r="S167" s="27"/>
      <c r="T167" s="28"/>
      <c r="U167" s="24" t="str">
        <f t="shared" si="45"/>
        <v>dd/86</v>
      </c>
      <c r="V167" s="8" t="str">
        <f t="shared" si="46"/>
        <v>6-86</v>
      </c>
      <c r="Y167" s="9"/>
      <c r="Z167" s="9"/>
    </row>
    <row r="168" spans="1:26" ht="14.4" x14ac:dyDescent="0.3">
      <c r="A168" s="16">
        <v>167</v>
      </c>
      <c r="B168" s="17">
        <v>2</v>
      </c>
      <c r="C168" s="17">
        <v>6</v>
      </c>
      <c r="D168" s="17">
        <v>4</v>
      </c>
      <c r="E168" s="17">
        <v>87</v>
      </c>
      <c r="F168" s="17" t="s">
        <v>26</v>
      </c>
      <c r="G168" s="18">
        <v>49.35</v>
      </c>
      <c r="H168" s="19">
        <f t="array" ref="H168">INDEX(Settings!$B$3:$B$7, D168)</f>
        <v>7000000</v>
      </c>
      <c r="I168" s="19">
        <f t="shared" si="43"/>
        <v>345450000</v>
      </c>
      <c r="J168" s="19">
        <f>I168*Settings!$B$2</f>
        <v>69090000</v>
      </c>
      <c r="K168" s="19">
        <f t="shared" si="44"/>
        <v>276360000</v>
      </c>
      <c r="L168" s="17" t="s">
        <v>27</v>
      </c>
      <c r="M168" s="20" t="s">
        <v>356</v>
      </c>
      <c r="N168" s="20" t="s">
        <v>357</v>
      </c>
      <c r="O168" s="20" t="s">
        <v>358</v>
      </c>
      <c r="P168" s="20" t="s">
        <v>187</v>
      </c>
      <c r="Q168" s="21">
        <v>42716</v>
      </c>
      <c r="R168" s="20">
        <v>998463136</v>
      </c>
      <c r="S168" s="20">
        <v>933790670</v>
      </c>
      <c r="T168" s="21">
        <v>46115</v>
      </c>
      <c r="U168" s="30" t="str">
        <f t="shared" si="45"/>
        <v>dd/87</v>
      </c>
      <c r="V168" s="8" t="str">
        <f t="shared" si="46"/>
        <v>6-87</v>
      </c>
      <c r="Y168" s="9"/>
      <c r="Z168" s="9"/>
    </row>
    <row r="169" spans="1:26" ht="14.4" x14ac:dyDescent="0.3">
      <c r="A169" s="24">
        <v>168</v>
      </c>
      <c r="B169" s="24">
        <v>2</v>
      </c>
      <c r="C169" s="24">
        <v>6</v>
      </c>
      <c r="D169" s="24">
        <v>5</v>
      </c>
      <c r="E169" s="24">
        <v>88</v>
      </c>
      <c r="F169" s="24" t="s">
        <v>26</v>
      </c>
      <c r="G169" s="25">
        <v>49.35</v>
      </c>
      <c r="H169" s="26">
        <f t="array" ref="H169">INDEX(Settings!$B$3:$B$7, D169)</f>
        <v>6700000</v>
      </c>
      <c r="I169" s="26">
        <f t="shared" si="43"/>
        <v>330645000</v>
      </c>
      <c r="J169" s="26">
        <f>I169*Settings!$B$2</f>
        <v>66129000</v>
      </c>
      <c r="K169" s="26">
        <f t="shared" si="44"/>
        <v>264516000</v>
      </c>
      <c r="L169" s="24" t="s">
        <v>291</v>
      </c>
      <c r="M169" s="27"/>
      <c r="N169" s="27"/>
      <c r="O169" s="27"/>
      <c r="P169" s="27"/>
      <c r="Q169" s="28"/>
      <c r="R169" s="27"/>
      <c r="S169" s="27"/>
      <c r="T169" s="28"/>
      <c r="U169" s="24" t="str">
        <f t="shared" si="45"/>
        <v>dd/88</v>
      </c>
      <c r="V169" s="8" t="str">
        <f t="shared" si="46"/>
        <v>6-88</v>
      </c>
      <c r="Y169" s="9"/>
      <c r="Z169" s="9"/>
    </row>
    <row r="170" spans="1:26" ht="14.4" x14ac:dyDescent="0.3">
      <c r="A170" s="16">
        <v>169</v>
      </c>
      <c r="B170" s="17">
        <v>2</v>
      </c>
      <c r="C170" s="17">
        <v>6</v>
      </c>
      <c r="D170" s="17">
        <v>5</v>
      </c>
      <c r="E170" s="17">
        <v>89</v>
      </c>
      <c r="F170" s="17" t="s">
        <v>26</v>
      </c>
      <c r="G170" s="18">
        <v>46.16</v>
      </c>
      <c r="H170" s="19">
        <v>6600000</v>
      </c>
      <c r="I170" s="19">
        <f t="shared" si="43"/>
        <v>304656000</v>
      </c>
      <c r="J170" s="19">
        <f>I170*Settings!$B$2</f>
        <v>60931200</v>
      </c>
      <c r="K170" s="19">
        <f t="shared" si="44"/>
        <v>243724800</v>
      </c>
      <c r="L170" s="17" t="s">
        <v>27</v>
      </c>
      <c r="M170" s="20" t="s">
        <v>359</v>
      </c>
      <c r="N170" s="20" t="s">
        <v>360</v>
      </c>
      <c r="O170" s="20" t="s">
        <v>361</v>
      </c>
      <c r="P170" s="20" t="s">
        <v>362</v>
      </c>
      <c r="Q170" s="21">
        <v>42514</v>
      </c>
      <c r="R170" s="20">
        <v>951784798</v>
      </c>
      <c r="S170" s="20">
        <v>914424552</v>
      </c>
      <c r="T170" s="21">
        <v>46105</v>
      </c>
      <c r="U170" s="30" t="str">
        <f t="shared" si="45"/>
        <v>dd/89</v>
      </c>
      <c r="V170" s="8" t="str">
        <f t="shared" si="46"/>
        <v>6-89</v>
      </c>
      <c r="Y170" s="9"/>
      <c r="Z170" s="9"/>
    </row>
    <row r="171" spans="1:26" ht="14.4" x14ac:dyDescent="0.3">
      <c r="A171" s="24">
        <v>170</v>
      </c>
      <c r="B171" s="24">
        <v>2</v>
      </c>
      <c r="C171" s="24">
        <v>6</v>
      </c>
      <c r="D171" s="24">
        <v>5</v>
      </c>
      <c r="E171" s="24">
        <v>90</v>
      </c>
      <c r="F171" s="24" t="s">
        <v>26</v>
      </c>
      <c r="G171" s="25">
        <v>49.35</v>
      </c>
      <c r="H171" s="26">
        <f t="array" ref="H171">INDEX(Settings!$B$3:$B$7, D171)</f>
        <v>6700000</v>
      </c>
      <c r="I171" s="26">
        <f t="shared" si="43"/>
        <v>330645000</v>
      </c>
      <c r="J171" s="26">
        <f>I171*Settings!$B$2</f>
        <v>66129000</v>
      </c>
      <c r="K171" s="26">
        <f t="shared" si="44"/>
        <v>264516000</v>
      </c>
      <c r="L171" s="24" t="s">
        <v>291</v>
      </c>
      <c r="M171" s="27"/>
      <c r="N171" s="27"/>
      <c r="O171" s="27"/>
      <c r="P171" s="27"/>
      <c r="Q171" s="28"/>
      <c r="R171" s="27"/>
      <c r="S171" s="27"/>
      <c r="T171" s="21"/>
      <c r="U171" s="24" t="str">
        <f t="shared" si="45"/>
        <v>dd/90</v>
      </c>
      <c r="V171" s="8" t="str">
        <f t="shared" si="46"/>
        <v>6-90</v>
      </c>
      <c r="Y171" s="9"/>
      <c r="Z171" s="9"/>
    </row>
    <row r="172" spans="1:26" ht="14.4" x14ac:dyDescent="0.3">
      <c r="A172" s="16">
        <v>171</v>
      </c>
      <c r="B172" s="17">
        <v>2</v>
      </c>
      <c r="C172" s="17">
        <v>7</v>
      </c>
      <c r="D172" s="17">
        <v>1</v>
      </c>
      <c r="E172" s="17">
        <v>91</v>
      </c>
      <c r="F172" s="17" t="s">
        <v>26</v>
      </c>
      <c r="G172" s="18">
        <v>49.35</v>
      </c>
      <c r="H172" s="19">
        <f t="array" ref="H172">INDEX(Settings!$B$3:$B$7, D172)</f>
        <v>7700000</v>
      </c>
      <c r="I172" s="19">
        <f t="shared" si="43"/>
        <v>379995000</v>
      </c>
      <c r="J172" s="19">
        <f>I172*Settings!$B$2</f>
        <v>75999000</v>
      </c>
      <c r="K172" s="19">
        <f t="shared" si="44"/>
        <v>303996000</v>
      </c>
      <c r="L172" s="17" t="s">
        <v>291</v>
      </c>
      <c r="M172" s="20"/>
      <c r="N172" s="20"/>
      <c r="O172" s="20"/>
      <c r="P172" s="20"/>
      <c r="Q172" s="21"/>
      <c r="R172" s="20"/>
      <c r="S172" s="20"/>
      <c r="T172" s="21"/>
      <c r="U172" s="30" t="str">
        <f t="shared" si="45"/>
        <v>dd/91</v>
      </c>
      <c r="V172" s="8" t="str">
        <f t="shared" si="46"/>
        <v>7-91</v>
      </c>
      <c r="Y172" s="9"/>
      <c r="Z172" s="9"/>
    </row>
    <row r="173" spans="1:26" ht="14.4" x14ac:dyDescent="0.3">
      <c r="A173" s="24">
        <v>172</v>
      </c>
      <c r="B173" s="24">
        <v>2</v>
      </c>
      <c r="C173" s="24">
        <v>7</v>
      </c>
      <c r="D173" s="24">
        <v>1</v>
      </c>
      <c r="E173" s="24">
        <v>92</v>
      </c>
      <c r="F173" s="24" t="s">
        <v>26</v>
      </c>
      <c r="G173" s="25">
        <v>46.16</v>
      </c>
      <c r="H173" s="26">
        <v>7700000</v>
      </c>
      <c r="I173" s="26">
        <v>355432000</v>
      </c>
      <c r="J173" s="26">
        <v>71086400</v>
      </c>
      <c r="K173" s="26">
        <v>284345600</v>
      </c>
      <c r="L173" s="24" t="s">
        <v>27</v>
      </c>
      <c r="M173" s="27" t="s">
        <v>363</v>
      </c>
      <c r="N173" s="27" t="s">
        <v>364</v>
      </c>
      <c r="O173" s="27" t="s">
        <v>365</v>
      </c>
      <c r="P173" s="27" t="s">
        <v>201</v>
      </c>
      <c r="Q173" s="28">
        <v>42754</v>
      </c>
      <c r="R173" s="27">
        <v>339077323</v>
      </c>
      <c r="S173" s="27"/>
      <c r="T173" s="21">
        <v>46196</v>
      </c>
      <c r="U173" s="24" t="s">
        <v>366</v>
      </c>
      <c r="V173" s="8" t="s">
        <v>367</v>
      </c>
      <c r="W173" s="10" t="s">
        <v>169</v>
      </c>
      <c r="Y173" s="9" t="s">
        <v>368</v>
      </c>
      <c r="Z173" s="9"/>
    </row>
    <row r="174" spans="1:26" ht="14.4" x14ac:dyDescent="0.3">
      <c r="A174" s="16">
        <v>173</v>
      </c>
      <c r="B174" s="17">
        <v>2</v>
      </c>
      <c r="C174" s="17">
        <v>7</v>
      </c>
      <c r="D174" s="17">
        <v>1</v>
      </c>
      <c r="E174" s="17">
        <v>93</v>
      </c>
      <c r="F174" s="17" t="s">
        <v>26</v>
      </c>
      <c r="G174" s="18">
        <v>49.35</v>
      </c>
      <c r="H174" s="19">
        <v>7700000</v>
      </c>
      <c r="I174" s="19">
        <v>379995000</v>
      </c>
      <c r="J174" s="19">
        <v>75999000</v>
      </c>
      <c r="K174" s="19">
        <v>303996000</v>
      </c>
      <c r="L174" s="17" t="s">
        <v>148</v>
      </c>
      <c r="M174" s="20"/>
      <c r="N174" s="20"/>
      <c r="O174" s="20"/>
      <c r="P174" s="20"/>
      <c r="Q174" s="21"/>
      <c r="R174" s="20"/>
      <c r="S174" s="20"/>
      <c r="T174" s="21"/>
      <c r="U174" s="30" t="s">
        <v>369</v>
      </c>
      <c r="V174" s="8" t="s">
        <v>370</v>
      </c>
      <c r="W174" s="10"/>
      <c r="Y174" s="9"/>
      <c r="Z174" s="9"/>
    </row>
    <row r="175" spans="1:26" ht="14.4" x14ac:dyDescent="0.3">
      <c r="A175" s="24">
        <v>174</v>
      </c>
      <c r="B175" s="24">
        <v>2</v>
      </c>
      <c r="C175" s="24">
        <v>7</v>
      </c>
      <c r="D175" s="24">
        <v>2</v>
      </c>
      <c r="E175" s="24">
        <v>94</v>
      </c>
      <c r="F175" s="24" t="s">
        <v>26</v>
      </c>
      <c r="G175" s="25">
        <v>49.35</v>
      </c>
      <c r="H175" s="26">
        <f t="array" ref="H175">INDEX(Settings!$B$3:$B$7, D175)</f>
        <v>7800000</v>
      </c>
      <c r="I175" s="26">
        <f t="shared" ref="I175:I176" si="47">G175*H175</f>
        <v>384930000</v>
      </c>
      <c r="J175" s="26">
        <f>I175*Settings!$B$2</f>
        <v>76986000</v>
      </c>
      <c r="K175" s="26">
        <f t="shared" ref="K175:K176" si="48">I175-J175</f>
        <v>307944000</v>
      </c>
      <c r="L175" s="24" t="s">
        <v>291</v>
      </c>
      <c r="M175" s="27"/>
      <c r="N175" s="27"/>
      <c r="O175" s="27"/>
      <c r="P175" s="27"/>
      <c r="Q175" s="28"/>
      <c r="R175" s="27"/>
      <c r="S175" s="27"/>
      <c r="T175" s="21"/>
      <c r="U175" s="24" t="str">
        <f t="shared" ref="U175:U176" si="49">TEXT(T175,"dd")&amp;"/"&amp;TEXT(E175,"00")</f>
        <v>dd/94</v>
      </c>
      <c r="V175" s="8" t="str">
        <f t="shared" ref="V175:V176" si="50">C175&amp;"-"&amp;E175</f>
        <v>7-94</v>
      </c>
      <c r="Y175" s="9"/>
      <c r="Z175" s="9"/>
    </row>
    <row r="176" spans="1:26" ht="14.4" x14ac:dyDescent="0.3">
      <c r="A176" s="16">
        <v>175</v>
      </c>
      <c r="B176" s="17">
        <v>2</v>
      </c>
      <c r="C176" s="17">
        <v>7</v>
      </c>
      <c r="D176" s="17">
        <v>2</v>
      </c>
      <c r="E176" s="17">
        <v>95</v>
      </c>
      <c r="F176" s="17" t="s">
        <v>26</v>
      </c>
      <c r="G176" s="18">
        <v>46.16</v>
      </c>
      <c r="H176" s="19">
        <f t="array" ref="H176">INDEX(Settings!$B$3:$B$7, D176)</f>
        <v>7800000</v>
      </c>
      <c r="I176" s="19">
        <f t="shared" si="47"/>
        <v>360048000</v>
      </c>
      <c r="J176" s="19">
        <f>I176*Settings!$B$2</f>
        <v>72009600</v>
      </c>
      <c r="K176" s="19">
        <f t="shared" si="48"/>
        <v>288038400</v>
      </c>
      <c r="L176" s="17" t="s">
        <v>27</v>
      </c>
      <c r="M176" s="20" t="s">
        <v>371</v>
      </c>
      <c r="N176" s="20" t="s">
        <v>372</v>
      </c>
      <c r="O176" s="20" t="s">
        <v>373</v>
      </c>
      <c r="P176" s="20" t="s">
        <v>374</v>
      </c>
      <c r="Q176" s="21">
        <v>42770</v>
      </c>
      <c r="R176" s="20" t="s">
        <v>375</v>
      </c>
      <c r="S176" s="20"/>
      <c r="T176" s="21"/>
      <c r="U176" s="30" t="str">
        <f t="shared" si="49"/>
        <v>dd/95</v>
      </c>
      <c r="V176" s="8" t="str">
        <f t="shared" si="50"/>
        <v>7-95</v>
      </c>
      <c r="Y176" s="9"/>
      <c r="Z176" s="9"/>
    </row>
    <row r="177" spans="1:26" ht="14.4" x14ac:dyDescent="0.3">
      <c r="A177" s="24">
        <v>176</v>
      </c>
      <c r="B177" s="24">
        <v>2</v>
      </c>
      <c r="C177" s="24">
        <v>7</v>
      </c>
      <c r="D177" s="24">
        <v>2</v>
      </c>
      <c r="E177" s="24">
        <v>96</v>
      </c>
      <c r="F177" s="24" t="s">
        <v>26</v>
      </c>
      <c r="G177" s="25">
        <v>49.35</v>
      </c>
      <c r="H177" s="26">
        <v>7800000</v>
      </c>
      <c r="I177" s="26">
        <v>384930000</v>
      </c>
      <c r="J177" s="26">
        <v>76986000</v>
      </c>
      <c r="K177" s="26">
        <v>307944000</v>
      </c>
      <c r="L177" s="24" t="s">
        <v>148</v>
      </c>
      <c r="M177" s="27"/>
      <c r="N177" s="27"/>
      <c r="O177" s="27"/>
      <c r="P177" s="27"/>
      <c r="Q177" s="28"/>
      <c r="R177" s="27"/>
      <c r="S177" s="27"/>
      <c r="T177" s="21"/>
      <c r="U177" s="24" t="s">
        <v>376</v>
      </c>
      <c r="V177" s="8" t="s">
        <v>377</v>
      </c>
      <c r="W177" s="10"/>
      <c r="Y177" s="9"/>
      <c r="Z177" s="9"/>
    </row>
    <row r="178" spans="1:26" ht="14.4" x14ac:dyDescent="0.3">
      <c r="A178" s="16">
        <v>177</v>
      </c>
      <c r="B178" s="17">
        <v>2</v>
      </c>
      <c r="C178" s="17">
        <v>7</v>
      </c>
      <c r="D178" s="17">
        <v>3</v>
      </c>
      <c r="E178" s="17">
        <v>97</v>
      </c>
      <c r="F178" s="17" t="s">
        <v>26</v>
      </c>
      <c r="G178" s="18">
        <v>49.35</v>
      </c>
      <c r="H178" s="19">
        <v>7250000</v>
      </c>
      <c r="I178" s="19">
        <f t="shared" ref="I178:I184" si="51">G178*H178</f>
        <v>357787500</v>
      </c>
      <c r="J178" s="19">
        <f>I178*Settings!$B$2</f>
        <v>71557500</v>
      </c>
      <c r="K178" s="19">
        <f t="shared" ref="K178:K184" si="52">I178-J178</f>
        <v>286230000</v>
      </c>
      <c r="L178" s="17" t="s">
        <v>27</v>
      </c>
      <c r="M178" s="20" t="s">
        <v>378</v>
      </c>
      <c r="N178" s="20" t="s">
        <v>379</v>
      </c>
      <c r="O178" s="20" t="s">
        <v>380</v>
      </c>
      <c r="P178" s="20" t="s">
        <v>187</v>
      </c>
      <c r="Q178" s="21">
        <v>46230</v>
      </c>
      <c r="R178" s="20">
        <v>886314851</v>
      </c>
      <c r="S178" s="20">
        <v>997314851</v>
      </c>
      <c r="T178" s="21">
        <v>46110</v>
      </c>
      <c r="U178" s="30" t="str">
        <f t="shared" ref="U178:U184" si="53">TEXT(T178,"dd")&amp;"/"&amp;TEXT(E178,"00")</f>
        <v>dd/97</v>
      </c>
      <c r="V178" s="8" t="str">
        <f t="shared" ref="V178:V184" si="54">C178&amp;"-"&amp;E178</f>
        <v>7-97</v>
      </c>
      <c r="Y178" s="9"/>
      <c r="Z178" s="9"/>
    </row>
    <row r="179" spans="1:26" ht="14.4" x14ac:dyDescent="0.3">
      <c r="A179" s="24">
        <v>178</v>
      </c>
      <c r="B179" s="24">
        <v>2</v>
      </c>
      <c r="C179" s="24">
        <v>7</v>
      </c>
      <c r="D179" s="24">
        <v>3</v>
      </c>
      <c r="E179" s="24">
        <v>98</v>
      </c>
      <c r="F179" s="24" t="s">
        <v>26</v>
      </c>
      <c r="G179" s="25">
        <v>46.16</v>
      </c>
      <c r="H179" s="26">
        <f t="array" ref="H179">INDEX(Settings!$B$3:$B$7, D179)</f>
        <v>7300000</v>
      </c>
      <c r="I179" s="26">
        <f t="shared" si="51"/>
        <v>336968000</v>
      </c>
      <c r="J179" s="26">
        <f>I179*Settings!$B$2</f>
        <v>67393600</v>
      </c>
      <c r="K179" s="26">
        <f t="shared" si="52"/>
        <v>269574400</v>
      </c>
      <c r="L179" s="24" t="s">
        <v>27</v>
      </c>
      <c r="M179" s="27" t="s">
        <v>381</v>
      </c>
      <c r="N179" s="27"/>
      <c r="O179" s="27"/>
      <c r="P179" s="27"/>
      <c r="Q179" s="28"/>
      <c r="R179" s="27"/>
      <c r="S179" s="27"/>
      <c r="T179" s="21"/>
      <c r="U179" s="24" t="str">
        <f t="shared" si="53"/>
        <v>dd/98</v>
      </c>
      <c r="V179" s="8" t="str">
        <f t="shared" si="54"/>
        <v>7-98</v>
      </c>
      <c r="Y179" s="9"/>
      <c r="Z179" s="9"/>
    </row>
    <row r="180" spans="1:26" ht="14.4" x14ac:dyDescent="0.3">
      <c r="A180" s="16">
        <v>179</v>
      </c>
      <c r="B180" s="17">
        <v>2</v>
      </c>
      <c r="C180" s="17">
        <v>7</v>
      </c>
      <c r="D180" s="17">
        <v>3</v>
      </c>
      <c r="E180" s="17">
        <v>99</v>
      </c>
      <c r="F180" s="17" t="s">
        <v>26</v>
      </c>
      <c r="G180" s="18">
        <v>49.35</v>
      </c>
      <c r="H180" s="19">
        <f t="array" ref="H180">INDEX(Settings!$B$3:$B$7, D180)</f>
        <v>7300000</v>
      </c>
      <c r="I180" s="19">
        <f t="shared" si="51"/>
        <v>360255000</v>
      </c>
      <c r="J180" s="19">
        <f>I180*Settings!$B$2</f>
        <v>72051000</v>
      </c>
      <c r="K180" s="19">
        <f t="shared" si="52"/>
        <v>288204000</v>
      </c>
      <c r="L180" s="17" t="s">
        <v>27</v>
      </c>
      <c r="M180" s="20" t="s">
        <v>382</v>
      </c>
      <c r="N180" s="20"/>
      <c r="O180" s="20"/>
      <c r="P180" s="20"/>
      <c r="Q180" s="21"/>
      <c r="R180" s="20"/>
      <c r="S180" s="20"/>
      <c r="T180" s="21"/>
      <c r="U180" s="30" t="str">
        <f t="shared" si="53"/>
        <v>dd/99</v>
      </c>
      <c r="V180" s="8" t="str">
        <f t="shared" si="54"/>
        <v>7-99</v>
      </c>
      <c r="Y180" s="9"/>
      <c r="Z180" s="9"/>
    </row>
    <row r="181" spans="1:26" ht="14.4" x14ac:dyDescent="0.3">
      <c r="A181" s="24">
        <v>180</v>
      </c>
      <c r="B181" s="24">
        <v>2</v>
      </c>
      <c r="C181" s="24">
        <v>7</v>
      </c>
      <c r="D181" s="24">
        <v>4</v>
      </c>
      <c r="E181" s="24">
        <v>100</v>
      </c>
      <c r="F181" s="24" t="s">
        <v>26</v>
      </c>
      <c r="G181" s="25">
        <v>49.35</v>
      </c>
      <c r="H181" s="26">
        <f t="array" ref="H181">INDEX(Settings!$B$3:$B$7, D181)</f>
        <v>7000000</v>
      </c>
      <c r="I181" s="26">
        <f t="shared" si="51"/>
        <v>345450000</v>
      </c>
      <c r="J181" s="26">
        <f>I181*Settings!$B$2</f>
        <v>69090000</v>
      </c>
      <c r="K181" s="26">
        <f t="shared" si="52"/>
        <v>276360000</v>
      </c>
      <c r="L181" s="24" t="s">
        <v>27</v>
      </c>
      <c r="M181" s="27" t="s">
        <v>383</v>
      </c>
      <c r="N181" s="27" t="s">
        <v>384</v>
      </c>
      <c r="O181" s="27"/>
      <c r="P181" s="27" t="s">
        <v>385</v>
      </c>
      <c r="Q181" s="28"/>
      <c r="R181" s="27"/>
      <c r="S181" s="27"/>
      <c r="T181" s="21"/>
      <c r="U181" s="24" t="str">
        <f t="shared" si="53"/>
        <v>dd/100</v>
      </c>
      <c r="V181" s="8" t="str">
        <f t="shared" si="54"/>
        <v>7-100</v>
      </c>
      <c r="Y181" s="9"/>
      <c r="Z181" s="9"/>
    </row>
    <row r="182" spans="1:26" ht="14.4" x14ac:dyDescent="0.3">
      <c r="A182" s="16">
        <v>181</v>
      </c>
      <c r="B182" s="17">
        <v>2</v>
      </c>
      <c r="C182" s="17">
        <v>7</v>
      </c>
      <c r="D182" s="17">
        <v>4</v>
      </c>
      <c r="E182" s="17">
        <v>101</v>
      </c>
      <c r="F182" s="17" t="s">
        <v>26</v>
      </c>
      <c r="G182" s="18">
        <v>46.16</v>
      </c>
      <c r="H182" s="19">
        <f t="array" ref="H182">INDEX(Settings!$B$3:$B$7, D182)</f>
        <v>7000000</v>
      </c>
      <c r="I182" s="19">
        <f t="shared" si="51"/>
        <v>323120000</v>
      </c>
      <c r="J182" s="19">
        <f>I182*Settings!$B$2</f>
        <v>64624000</v>
      </c>
      <c r="K182" s="19">
        <f t="shared" si="52"/>
        <v>258496000</v>
      </c>
      <c r="L182" s="17" t="s">
        <v>27</v>
      </c>
      <c r="M182" s="20" t="s">
        <v>386</v>
      </c>
      <c r="N182" s="20"/>
      <c r="O182" s="20"/>
      <c r="P182" s="20"/>
      <c r="Q182" s="21"/>
      <c r="R182" s="20"/>
      <c r="S182" s="20"/>
      <c r="T182" s="21"/>
      <c r="U182" s="30" t="str">
        <f t="shared" si="53"/>
        <v>dd/101</v>
      </c>
      <c r="V182" s="8" t="str">
        <f t="shared" si="54"/>
        <v>7-101</v>
      </c>
      <c r="Y182" s="9"/>
      <c r="Z182" s="9"/>
    </row>
    <row r="183" spans="1:26" ht="14.4" x14ac:dyDescent="0.3">
      <c r="A183" s="24">
        <v>182</v>
      </c>
      <c r="B183" s="24">
        <v>2</v>
      </c>
      <c r="C183" s="24">
        <v>7</v>
      </c>
      <c r="D183" s="24">
        <v>4</v>
      </c>
      <c r="E183" s="24">
        <v>102</v>
      </c>
      <c r="F183" s="24" t="s">
        <v>26</v>
      </c>
      <c r="G183" s="25">
        <v>49.35</v>
      </c>
      <c r="H183" s="26">
        <f t="array" ref="H183">INDEX(Settings!$B$3:$B$7, D183)</f>
        <v>7000000</v>
      </c>
      <c r="I183" s="26">
        <f t="shared" si="51"/>
        <v>345450000</v>
      </c>
      <c r="J183" s="26">
        <f>I183*Settings!$B$2</f>
        <v>69090000</v>
      </c>
      <c r="K183" s="26">
        <f t="shared" si="52"/>
        <v>276360000</v>
      </c>
      <c r="L183" s="24" t="s">
        <v>27</v>
      </c>
      <c r="M183" s="27" t="s">
        <v>387</v>
      </c>
      <c r="N183" s="27"/>
      <c r="O183" s="27"/>
      <c r="P183" s="27"/>
      <c r="Q183" s="28"/>
      <c r="R183" s="27"/>
      <c r="S183" s="27"/>
      <c r="T183" s="28"/>
      <c r="U183" s="24" t="str">
        <f t="shared" si="53"/>
        <v>dd/102</v>
      </c>
      <c r="V183" s="8" t="str">
        <f t="shared" si="54"/>
        <v>7-102</v>
      </c>
      <c r="Y183" s="9"/>
      <c r="Z183" s="9"/>
    </row>
    <row r="184" spans="1:26" ht="14.4" x14ac:dyDescent="0.3">
      <c r="A184" s="16">
        <v>183</v>
      </c>
      <c r="B184" s="17">
        <v>2</v>
      </c>
      <c r="C184" s="17">
        <v>7</v>
      </c>
      <c r="D184" s="17">
        <v>5</v>
      </c>
      <c r="E184" s="17">
        <v>103</v>
      </c>
      <c r="F184" s="17" t="s">
        <v>26</v>
      </c>
      <c r="G184" s="18">
        <v>49.35</v>
      </c>
      <c r="H184" s="19">
        <f t="array" ref="H184">INDEX(Settings!$B$3:$B$7, D184)</f>
        <v>6700000</v>
      </c>
      <c r="I184" s="19">
        <f t="shared" si="51"/>
        <v>330645000</v>
      </c>
      <c r="J184" s="19">
        <f>I184*Settings!$B$2</f>
        <v>66129000</v>
      </c>
      <c r="K184" s="19">
        <f t="shared" si="52"/>
        <v>264516000</v>
      </c>
      <c r="L184" s="17" t="s">
        <v>291</v>
      </c>
      <c r="M184" s="20"/>
      <c r="N184" s="20"/>
      <c r="O184" s="20"/>
      <c r="P184" s="20"/>
      <c r="Q184" s="21"/>
      <c r="R184" s="20"/>
      <c r="S184" s="20"/>
      <c r="T184" s="21"/>
      <c r="U184" s="30" t="str">
        <f t="shared" si="53"/>
        <v>dd/103</v>
      </c>
      <c r="V184" s="8" t="str">
        <f t="shared" si="54"/>
        <v>7-103</v>
      </c>
      <c r="Y184" s="9"/>
      <c r="Z184" s="9"/>
    </row>
    <row r="185" spans="1:26" ht="14.4" x14ac:dyDescent="0.3">
      <c r="A185" s="24">
        <v>184</v>
      </c>
      <c r="B185" s="24">
        <v>2</v>
      </c>
      <c r="C185" s="24">
        <v>7</v>
      </c>
      <c r="D185" s="24">
        <v>5</v>
      </c>
      <c r="E185" s="24">
        <v>104</v>
      </c>
      <c r="F185" s="24" t="s">
        <v>26</v>
      </c>
      <c r="G185" s="25">
        <v>46.16</v>
      </c>
      <c r="H185" s="26">
        <v>6700000</v>
      </c>
      <c r="I185" s="26">
        <v>309272000</v>
      </c>
      <c r="J185" s="26">
        <v>61854400</v>
      </c>
      <c r="K185" s="26">
        <v>247417600</v>
      </c>
      <c r="L185" s="24" t="s">
        <v>27</v>
      </c>
      <c r="M185" s="27" t="s">
        <v>388</v>
      </c>
      <c r="N185" s="27" t="s">
        <v>389</v>
      </c>
      <c r="O185" s="27" t="s">
        <v>390</v>
      </c>
      <c r="P185" s="27" t="s">
        <v>126</v>
      </c>
      <c r="Q185" s="28">
        <v>44575</v>
      </c>
      <c r="R185" s="27">
        <v>870110392</v>
      </c>
      <c r="S185" s="27">
        <v>917819144</v>
      </c>
      <c r="T185" s="28">
        <v>46157</v>
      </c>
      <c r="U185" s="24" t="s">
        <v>391</v>
      </c>
      <c r="V185" s="8" t="s">
        <v>392</v>
      </c>
      <c r="W185" s="10" t="s">
        <v>42</v>
      </c>
      <c r="Y185" s="9"/>
      <c r="Z185" s="9"/>
    </row>
    <row r="186" spans="1:26" ht="14.4" x14ac:dyDescent="0.3">
      <c r="A186" s="16">
        <v>185</v>
      </c>
      <c r="B186" s="17">
        <v>2</v>
      </c>
      <c r="C186" s="17">
        <v>7</v>
      </c>
      <c r="D186" s="17">
        <v>5</v>
      </c>
      <c r="E186" s="17">
        <v>105</v>
      </c>
      <c r="F186" s="17" t="s">
        <v>26</v>
      </c>
      <c r="G186" s="18">
        <v>49.35</v>
      </c>
      <c r="H186" s="19">
        <f t="array" ref="H186">INDEX(Settings!$B$3:$B$7, D186)</f>
        <v>6700000</v>
      </c>
      <c r="I186" s="19">
        <f>G186*H186</f>
        <v>330645000</v>
      </c>
      <c r="J186" s="19">
        <f>I186*Settings!$B$2</f>
        <v>66129000</v>
      </c>
      <c r="K186" s="19">
        <f>I186-J186</f>
        <v>264516000</v>
      </c>
      <c r="L186" s="17" t="s">
        <v>291</v>
      </c>
      <c r="M186" s="20"/>
      <c r="N186" s="20"/>
      <c r="O186" s="20"/>
      <c r="P186" s="20"/>
      <c r="Q186" s="21"/>
      <c r="R186" s="20"/>
      <c r="S186" s="20"/>
      <c r="T186" s="21"/>
      <c r="U186" s="30" t="str">
        <f>TEXT(T186,"dd")&amp;"/"&amp;TEXT(E186,"00")</f>
        <v>dd/105</v>
      </c>
      <c r="V186" s="8" t="str">
        <f>C186&amp;"-"&amp;E186</f>
        <v>7-105</v>
      </c>
      <c r="Y186" s="9"/>
      <c r="Z186" s="9"/>
    </row>
    <row r="187" spans="1:26" ht="14.4" x14ac:dyDescent="0.3">
      <c r="A187" s="24">
        <v>186</v>
      </c>
      <c r="B187" s="24">
        <v>2</v>
      </c>
      <c r="C187" s="24">
        <v>8</v>
      </c>
      <c r="D187" s="24">
        <v>1</v>
      </c>
      <c r="E187" s="24">
        <v>106</v>
      </c>
      <c r="F187" s="24" t="s">
        <v>26</v>
      </c>
      <c r="G187" s="25">
        <v>49.35</v>
      </c>
      <c r="H187" s="26">
        <v>7700000</v>
      </c>
      <c r="I187" s="26">
        <v>379995000</v>
      </c>
      <c r="J187" s="26">
        <v>75999000</v>
      </c>
      <c r="K187" s="26">
        <v>303996000</v>
      </c>
      <c r="L187" s="24" t="s">
        <v>148</v>
      </c>
      <c r="M187" s="27"/>
      <c r="N187" s="27"/>
      <c r="O187" s="27"/>
      <c r="P187" s="27"/>
      <c r="Q187" s="28"/>
      <c r="R187" s="27"/>
      <c r="S187" s="27"/>
      <c r="T187" s="28">
        <v>46186</v>
      </c>
      <c r="U187" s="24" t="s">
        <v>393</v>
      </c>
      <c r="V187" s="8" t="s">
        <v>394</v>
      </c>
      <c r="W187" s="10"/>
      <c r="Y187" s="9"/>
      <c r="Z187" s="9"/>
    </row>
    <row r="188" spans="1:26" ht="14.4" x14ac:dyDescent="0.3">
      <c r="A188" s="16">
        <v>187</v>
      </c>
      <c r="B188" s="17">
        <v>2</v>
      </c>
      <c r="C188" s="17">
        <v>8</v>
      </c>
      <c r="D188" s="17">
        <v>1</v>
      </c>
      <c r="E188" s="17">
        <v>107</v>
      </c>
      <c r="F188" s="17" t="s">
        <v>26</v>
      </c>
      <c r="G188" s="18">
        <v>46.16</v>
      </c>
      <c r="H188" s="19">
        <v>7700000</v>
      </c>
      <c r="I188" s="19">
        <v>355432000</v>
      </c>
      <c r="J188" s="19">
        <v>71086400</v>
      </c>
      <c r="K188" s="19">
        <v>284345600</v>
      </c>
      <c r="L188" s="17" t="s">
        <v>27</v>
      </c>
      <c r="M188" s="20" t="s">
        <v>395</v>
      </c>
      <c r="N188" s="20" t="s">
        <v>396</v>
      </c>
      <c r="O188" s="20" t="s">
        <v>397</v>
      </c>
      <c r="P188" s="20" t="s">
        <v>398</v>
      </c>
      <c r="Q188" s="21">
        <v>29989</v>
      </c>
      <c r="R188" s="20">
        <v>993544127</v>
      </c>
      <c r="S188" s="20">
        <v>931858107</v>
      </c>
      <c r="T188" s="21">
        <v>46199</v>
      </c>
      <c r="U188" s="30" t="s">
        <v>399</v>
      </c>
      <c r="V188" s="8" t="s">
        <v>400</v>
      </c>
      <c r="W188" s="10" t="s">
        <v>42</v>
      </c>
      <c r="Y188" s="9"/>
      <c r="Z188" s="9"/>
    </row>
    <row r="189" spans="1:26" ht="14.4" x14ac:dyDescent="0.3">
      <c r="A189" s="24">
        <v>188</v>
      </c>
      <c r="B189" s="24">
        <v>2</v>
      </c>
      <c r="C189" s="24">
        <v>8</v>
      </c>
      <c r="D189" s="24">
        <v>1</v>
      </c>
      <c r="E189" s="24">
        <v>108</v>
      </c>
      <c r="F189" s="24" t="s">
        <v>26</v>
      </c>
      <c r="G189" s="25">
        <v>49.35</v>
      </c>
      <c r="H189" s="26">
        <f t="array" ref="H189">INDEX(Settings!$B$3:$B$7, D189)</f>
        <v>7700000</v>
      </c>
      <c r="I189" s="26">
        <f t="shared" ref="I189:I190" si="55">G189*H189</f>
        <v>379995000</v>
      </c>
      <c r="J189" s="26">
        <f>I189*Settings!$B$2</f>
        <v>75999000</v>
      </c>
      <c r="K189" s="26">
        <f t="shared" ref="K189:K190" si="56">I189-J189</f>
        <v>303996000</v>
      </c>
      <c r="L189" s="24" t="s">
        <v>291</v>
      </c>
      <c r="M189" s="27"/>
      <c r="N189" s="27"/>
      <c r="O189" s="27"/>
      <c r="P189" s="27"/>
      <c r="Q189" s="28"/>
      <c r="R189" s="27"/>
      <c r="S189" s="27"/>
      <c r="T189" s="28"/>
      <c r="U189" s="24" t="str">
        <f t="shared" ref="U189:U190" si="57">TEXT(T189,"dd")&amp;"/"&amp;TEXT(E189,"00")</f>
        <v>dd/108</v>
      </c>
      <c r="V189" s="8" t="str">
        <f t="shared" ref="V189:V190" si="58">C189&amp;"-"&amp;E189</f>
        <v>8-108</v>
      </c>
      <c r="Y189" s="9"/>
      <c r="Z189" s="9"/>
    </row>
    <row r="190" spans="1:26" ht="14.4" x14ac:dyDescent="0.3">
      <c r="A190" s="16">
        <v>189</v>
      </c>
      <c r="B190" s="17">
        <v>2</v>
      </c>
      <c r="C190" s="17">
        <v>8</v>
      </c>
      <c r="D190" s="17">
        <v>2</v>
      </c>
      <c r="E190" s="17">
        <v>109</v>
      </c>
      <c r="F190" s="17" t="s">
        <v>26</v>
      </c>
      <c r="G190" s="18">
        <v>49.35</v>
      </c>
      <c r="H190" s="19">
        <f t="array" ref="H190">INDEX(Settings!$B$3:$B$7, D190)</f>
        <v>7800000</v>
      </c>
      <c r="I190" s="19">
        <f t="shared" si="55"/>
        <v>384930000</v>
      </c>
      <c r="J190" s="19">
        <f>I190*Settings!$B$2</f>
        <v>76986000</v>
      </c>
      <c r="K190" s="19">
        <f t="shared" si="56"/>
        <v>307944000</v>
      </c>
      <c r="L190" s="17" t="s">
        <v>291</v>
      </c>
      <c r="M190" s="20"/>
      <c r="N190" s="20"/>
      <c r="O190" s="20"/>
      <c r="P190" s="20"/>
      <c r="Q190" s="21"/>
      <c r="R190" s="20"/>
      <c r="S190" s="20"/>
      <c r="T190" s="21"/>
      <c r="U190" s="30" t="str">
        <f t="shared" si="57"/>
        <v>dd/109</v>
      </c>
      <c r="V190" s="8" t="str">
        <f t="shared" si="58"/>
        <v>8-109</v>
      </c>
      <c r="Y190" s="9"/>
      <c r="Z190" s="9"/>
    </row>
    <row r="191" spans="1:26" ht="14.4" x14ac:dyDescent="0.3">
      <c r="A191" s="24">
        <v>190</v>
      </c>
      <c r="B191" s="24">
        <v>2</v>
      </c>
      <c r="C191" s="24">
        <v>8</v>
      </c>
      <c r="D191" s="24">
        <v>2</v>
      </c>
      <c r="E191" s="24">
        <v>110</v>
      </c>
      <c r="F191" s="24" t="s">
        <v>26</v>
      </c>
      <c r="G191" s="25">
        <v>46.16</v>
      </c>
      <c r="H191" s="26">
        <v>7800000</v>
      </c>
      <c r="I191" s="26">
        <v>360048000</v>
      </c>
      <c r="J191" s="26">
        <v>72009600</v>
      </c>
      <c r="K191" s="26">
        <v>288038400</v>
      </c>
      <c r="L191" s="24" t="s">
        <v>27</v>
      </c>
      <c r="M191" s="27" t="s">
        <v>401</v>
      </c>
      <c r="N191" s="27"/>
      <c r="O191" s="27"/>
      <c r="P191" s="27"/>
      <c r="Q191" s="24"/>
      <c r="R191" s="27">
        <v>880767076</v>
      </c>
      <c r="S191" s="27"/>
      <c r="T191" s="28">
        <v>46189</v>
      </c>
      <c r="U191" s="24" t="s">
        <v>402</v>
      </c>
      <c r="V191" s="8" t="s">
        <v>403</v>
      </c>
      <c r="W191" s="10" t="s">
        <v>169</v>
      </c>
      <c r="Y191" s="9" t="s">
        <v>404</v>
      </c>
      <c r="Z191" s="9"/>
    </row>
    <row r="192" spans="1:26" ht="14.4" x14ac:dyDescent="0.3">
      <c r="A192" s="16">
        <v>191</v>
      </c>
      <c r="B192" s="17">
        <v>2</v>
      </c>
      <c r="C192" s="17">
        <v>8</v>
      </c>
      <c r="D192" s="17">
        <v>2</v>
      </c>
      <c r="E192" s="17">
        <v>111</v>
      </c>
      <c r="F192" s="17" t="s">
        <v>26</v>
      </c>
      <c r="G192" s="18">
        <v>49.35</v>
      </c>
      <c r="H192" s="19">
        <v>7800000</v>
      </c>
      <c r="I192" s="19">
        <v>384930000</v>
      </c>
      <c r="J192" s="19">
        <v>76986000</v>
      </c>
      <c r="K192" s="19">
        <v>307944000</v>
      </c>
      <c r="L192" s="17" t="s">
        <v>148</v>
      </c>
      <c r="M192" s="20"/>
      <c r="N192" s="20"/>
      <c r="O192" s="20"/>
      <c r="P192" s="20"/>
      <c r="Q192" s="21"/>
      <c r="R192" s="20"/>
      <c r="S192" s="20"/>
      <c r="T192" s="21"/>
      <c r="U192" s="30" t="s">
        <v>405</v>
      </c>
      <c r="V192" s="8" t="s">
        <v>406</v>
      </c>
      <c r="W192" s="10"/>
      <c r="Y192" s="9"/>
      <c r="Z192" s="9"/>
    </row>
    <row r="193" spans="1:26" ht="14.4" x14ac:dyDescent="0.3">
      <c r="A193" s="24">
        <v>192</v>
      </c>
      <c r="B193" s="24">
        <v>2</v>
      </c>
      <c r="C193" s="24">
        <v>8</v>
      </c>
      <c r="D193" s="24">
        <v>3</v>
      </c>
      <c r="E193" s="24">
        <v>112</v>
      </c>
      <c r="F193" s="24" t="s">
        <v>26</v>
      </c>
      <c r="G193" s="25">
        <v>49.35</v>
      </c>
      <c r="H193" s="26">
        <f t="array" ref="H193">INDEX(Settings!$B$3:$B$7, D193)</f>
        <v>7300000</v>
      </c>
      <c r="I193" s="26">
        <f t="shared" ref="I193:I194" si="59">G193*H193</f>
        <v>360255000</v>
      </c>
      <c r="J193" s="26">
        <f>I193*Settings!$B$2</f>
        <v>72051000</v>
      </c>
      <c r="K193" s="26">
        <f t="shared" ref="K193:K194" si="60">I193-J193</f>
        <v>288204000</v>
      </c>
      <c r="L193" s="24" t="s">
        <v>27</v>
      </c>
      <c r="M193" s="27" t="s">
        <v>407</v>
      </c>
      <c r="N193" s="27" t="s">
        <v>408</v>
      </c>
      <c r="O193" s="27"/>
      <c r="P193" s="27"/>
      <c r="Q193" s="28"/>
      <c r="R193" s="27" t="s">
        <v>409</v>
      </c>
      <c r="S193" s="27"/>
      <c r="T193" s="28"/>
      <c r="U193" s="24" t="str">
        <f t="shared" ref="U193:U194" si="61">TEXT(T193,"dd")&amp;"/"&amp;TEXT(E193,"00")</f>
        <v>dd/112</v>
      </c>
      <c r="V193" s="8" t="str">
        <f t="shared" ref="V193:V194" si="62">C193&amp;"-"&amp;E193</f>
        <v>8-112</v>
      </c>
      <c r="Y193" s="9"/>
      <c r="Z193" s="9"/>
    </row>
    <row r="194" spans="1:26" ht="14.4" x14ac:dyDescent="0.3">
      <c r="A194" s="16">
        <v>193</v>
      </c>
      <c r="B194" s="17">
        <v>2</v>
      </c>
      <c r="C194" s="17">
        <v>8</v>
      </c>
      <c r="D194" s="17">
        <v>3</v>
      </c>
      <c r="E194" s="17">
        <v>113</v>
      </c>
      <c r="F194" s="17" t="s">
        <v>26</v>
      </c>
      <c r="G194" s="18">
        <v>46.16</v>
      </c>
      <c r="H194" s="19">
        <f t="array" ref="H194">INDEX(Settings!$B$3:$B$7, D194)</f>
        <v>7300000</v>
      </c>
      <c r="I194" s="19">
        <f t="shared" si="59"/>
        <v>336968000</v>
      </c>
      <c r="J194" s="19">
        <f>I194*Settings!$B$2</f>
        <v>67393600</v>
      </c>
      <c r="K194" s="19">
        <f t="shared" si="60"/>
        <v>269574400</v>
      </c>
      <c r="L194" s="17" t="s">
        <v>27</v>
      </c>
      <c r="M194" s="20" t="s">
        <v>410</v>
      </c>
      <c r="N194" s="20"/>
      <c r="O194" s="20"/>
      <c r="P194" s="20"/>
      <c r="Q194" s="21"/>
      <c r="R194" s="20"/>
      <c r="S194" s="20"/>
      <c r="T194" s="21"/>
      <c r="U194" s="30" t="str">
        <f t="shared" si="61"/>
        <v>dd/113</v>
      </c>
      <c r="V194" s="8" t="str">
        <f t="shared" si="62"/>
        <v>8-113</v>
      </c>
      <c r="W194" s="10" t="s">
        <v>169</v>
      </c>
      <c r="Y194" s="9" t="s">
        <v>411</v>
      </c>
      <c r="Z194" s="9"/>
    </row>
    <row r="195" spans="1:26" ht="14.4" x14ac:dyDescent="0.3">
      <c r="A195" s="24">
        <v>194</v>
      </c>
      <c r="B195" s="24">
        <v>2</v>
      </c>
      <c r="C195" s="24">
        <v>8</v>
      </c>
      <c r="D195" s="24">
        <v>3</v>
      </c>
      <c r="E195" s="24">
        <v>114</v>
      </c>
      <c r="F195" s="24" t="s">
        <v>26</v>
      </c>
      <c r="G195" s="25">
        <v>49.35</v>
      </c>
      <c r="H195" s="26">
        <v>7300000</v>
      </c>
      <c r="I195" s="26">
        <v>360255000</v>
      </c>
      <c r="J195" s="26">
        <v>72051000</v>
      </c>
      <c r="K195" s="26">
        <v>288204000</v>
      </c>
      <c r="L195" s="24" t="s">
        <v>27</v>
      </c>
      <c r="M195" s="27" t="s">
        <v>412</v>
      </c>
      <c r="N195" s="27" t="s">
        <v>413</v>
      </c>
      <c r="O195" s="27" t="s">
        <v>414</v>
      </c>
      <c r="P195" s="27" t="s">
        <v>201</v>
      </c>
      <c r="Q195" s="28">
        <v>45992</v>
      </c>
      <c r="R195" s="27">
        <v>995624782</v>
      </c>
      <c r="S195" s="27">
        <v>914682774</v>
      </c>
      <c r="T195" s="28">
        <v>46160</v>
      </c>
      <c r="U195" s="24" t="s">
        <v>415</v>
      </c>
      <c r="V195" s="8" t="s">
        <v>416</v>
      </c>
      <c r="W195" s="10" t="s">
        <v>42</v>
      </c>
      <c r="Y195" s="9"/>
      <c r="Z195" s="9"/>
    </row>
    <row r="196" spans="1:26" ht="14.4" x14ac:dyDescent="0.3">
      <c r="A196" s="16">
        <v>195</v>
      </c>
      <c r="B196" s="17">
        <v>2</v>
      </c>
      <c r="C196" s="17">
        <v>8</v>
      </c>
      <c r="D196" s="17">
        <v>4</v>
      </c>
      <c r="E196" s="17">
        <v>115</v>
      </c>
      <c r="F196" s="17" t="s">
        <v>26</v>
      </c>
      <c r="G196" s="18">
        <v>49.35</v>
      </c>
      <c r="H196" s="19">
        <v>7000000</v>
      </c>
      <c r="I196" s="19">
        <v>345450000</v>
      </c>
      <c r="J196" s="19">
        <v>69090000</v>
      </c>
      <c r="K196" s="19">
        <v>276360000</v>
      </c>
      <c r="L196" s="17" t="s">
        <v>27</v>
      </c>
      <c r="M196" s="20" t="s">
        <v>417</v>
      </c>
      <c r="N196" s="20" t="s">
        <v>418</v>
      </c>
      <c r="O196" s="20" t="s">
        <v>419</v>
      </c>
      <c r="P196" s="20" t="s">
        <v>420</v>
      </c>
      <c r="Q196" s="21">
        <v>45829</v>
      </c>
      <c r="R196" s="20">
        <v>501042390</v>
      </c>
      <c r="S196" s="20">
        <v>976369910</v>
      </c>
      <c r="T196" s="21">
        <v>46144</v>
      </c>
      <c r="U196" s="30" t="s">
        <v>421</v>
      </c>
      <c r="V196" s="8" t="s">
        <v>422</v>
      </c>
      <c r="W196" s="10" t="s">
        <v>52</v>
      </c>
      <c r="Y196" s="9"/>
      <c r="Z196" s="9" t="s">
        <v>423</v>
      </c>
    </row>
    <row r="197" spans="1:26" ht="14.4" x14ac:dyDescent="0.3">
      <c r="A197" s="24">
        <v>196</v>
      </c>
      <c r="B197" s="24">
        <v>2</v>
      </c>
      <c r="C197" s="24">
        <v>8</v>
      </c>
      <c r="D197" s="24">
        <v>4</v>
      </c>
      <c r="E197" s="24">
        <v>116</v>
      </c>
      <c r="F197" s="24" t="s">
        <v>26</v>
      </c>
      <c r="G197" s="25">
        <v>46.16</v>
      </c>
      <c r="H197" s="26">
        <f t="array" ref="H197">INDEX(Settings!$B$3:$B$7, D197)</f>
        <v>7000000</v>
      </c>
      <c r="I197" s="26">
        <f>G197*H197</f>
        <v>323120000</v>
      </c>
      <c r="J197" s="26">
        <f>I197*Settings!$B$2</f>
        <v>64624000</v>
      </c>
      <c r="K197" s="26">
        <f>I197-J197</f>
        <v>258496000</v>
      </c>
      <c r="L197" s="24" t="s">
        <v>27</v>
      </c>
      <c r="M197" s="27" t="s">
        <v>424</v>
      </c>
      <c r="N197" s="27"/>
      <c r="O197" s="27"/>
      <c r="P197" s="27"/>
      <c r="Q197" s="28"/>
      <c r="R197" s="27"/>
      <c r="S197" s="27"/>
      <c r="T197" s="28"/>
      <c r="U197" s="24" t="str">
        <f>TEXT(T197,"dd")&amp;"/"&amp;TEXT(E197,"00")</f>
        <v>dd/116</v>
      </c>
      <c r="V197" s="8" t="str">
        <f>C197&amp;"-"&amp;E197</f>
        <v>8-116</v>
      </c>
      <c r="Y197" s="9"/>
      <c r="Z197" s="9"/>
    </row>
    <row r="198" spans="1:26" ht="14.4" x14ac:dyDescent="0.3">
      <c r="A198" s="16">
        <v>197</v>
      </c>
      <c r="B198" s="17">
        <v>2</v>
      </c>
      <c r="C198" s="17">
        <v>8</v>
      </c>
      <c r="D198" s="17">
        <v>4</v>
      </c>
      <c r="E198" s="17">
        <v>117</v>
      </c>
      <c r="F198" s="17" t="s">
        <v>26</v>
      </c>
      <c r="G198" s="18">
        <v>49.35</v>
      </c>
      <c r="H198" s="19">
        <v>7000000</v>
      </c>
      <c r="I198" s="19">
        <v>345450000</v>
      </c>
      <c r="J198" s="19">
        <v>69090000</v>
      </c>
      <c r="K198" s="19">
        <v>276360000</v>
      </c>
      <c r="L198" s="17" t="s">
        <v>27</v>
      </c>
      <c r="M198" s="20" t="s">
        <v>425</v>
      </c>
      <c r="N198" s="20" t="s">
        <v>426</v>
      </c>
      <c r="O198" s="20" t="s">
        <v>427</v>
      </c>
      <c r="P198" s="20" t="s">
        <v>201</v>
      </c>
      <c r="Q198" s="21">
        <v>45853</v>
      </c>
      <c r="R198" s="20">
        <v>500784498</v>
      </c>
      <c r="S198" s="20">
        <v>930464626</v>
      </c>
      <c r="T198" s="21">
        <v>46162</v>
      </c>
      <c r="U198" s="30" t="s">
        <v>428</v>
      </c>
      <c r="V198" s="8" t="s">
        <v>429</v>
      </c>
      <c r="W198" s="10" t="s">
        <v>42</v>
      </c>
      <c r="Y198" s="9"/>
      <c r="Z198" s="9"/>
    </row>
    <row r="199" spans="1:26" ht="14.4" x14ac:dyDescent="0.3">
      <c r="A199" s="24">
        <v>198</v>
      </c>
      <c r="B199" s="24">
        <v>2</v>
      </c>
      <c r="C199" s="24">
        <v>8</v>
      </c>
      <c r="D199" s="24">
        <v>5</v>
      </c>
      <c r="E199" s="24">
        <v>118</v>
      </c>
      <c r="F199" s="24" t="s">
        <v>26</v>
      </c>
      <c r="G199" s="25">
        <v>49.35</v>
      </c>
      <c r="H199" s="26">
        <f t="array" ref="H199">INDEX(Settings!$B$3:$B$7, D199)</f>
        <v>6700000</v>
      </c>
      <c r="I199" s="26">
        <f>G199*H199</f>
        <v>330645000</v>
      </c>
      <c r="J199" s="26">
        <f>I199*Settings!$B$2</f>
        <v>66129000</v>
      </c>
      <c r="K199" s="26">
        <f>I199-J199</f>
        <v>264516000</v>
      </c>
      <c r="L199" s="24" t="s">
        <v>291</v>
      </c>
      <c r="M199" s="27"/>
      <c r="N199" s="27"/>
      <c r="O199" s="27"/>
      <c r="P199" s="27"/>
      <c r="Q199" s="28"/>
      <c r="R199" s="27"/>
      <c r="S199" s="27"/>
      <c r="T199" s="28"/>
      <c r="U199" s="24" t="str">
        <f>TEXT(T199,"dd")&amp;"/"&amp;TEXT(E199,"00")</f>
        <v>dd/118</v>
      </c>
      <c r="V199" s="8" t="str">
        <f>C199&amp;"-"&amp;E199</f>
        <v>8-118</v>
      </c>
      <c r="Y199" s="9"/>
      <c r="Z199" s="9"/>
    </row>
    <row r="200" spans="1:26" ht="14.4" x14ac:dyDescent="0.3">
      <c r="A200" s="16">
        <v>199</v>
      </c>
      <c r="B200" s="17">
        <v>2</v>
      </c>
      <c r="C200" s="17">
        <v>8</v>
      </c>
      <c r="D200" s="17">
        <v>5</v>
      </c>
      <c r="E200" s="17">
        <v>119</v>
      </c>
      <c r="F200" s="17" t="s">
        <v>26</v>
      </c>
      <c r="G200" s="18">
        <v>46.16</v>
      </c>
      <c r="H200" s="19">
        <v>6700000</v>
      </c>
      <c r="I200" s="19">
        <v>309272000</v>
      </c>
      <c r="J200" s="19">
        <v>61854400</v>
      </c>
      <c r="K200" s="19">
        <v>247417600</v>
      </c>
      <c r="L200" s="17" t="s">
        <v>148</v>
      </c>
      <c r="M200" s="20"/>
      <c r="N200" s="20"/>
      <c r="O200" s="20"/>
      <c r="P200" s="20"/>
      <c r="Q200" s="21"/>
      <c r="R200" s="20"/>
      <c r="S200" s="20"/>
      <c r="T200" s="21">
        <v>46185</v>
      </c>
      <c r="U200" s="30" t="s">
        <v>430</v>
      </c>
      <c r="V200" s="8" t="s">
        <v>431</v>
      </c>
      <c r="W200" s="10"/>
      <c r="Y200" s="9"/>
      <c r="Z200" s="9"/>
    </row>
    <row r="201" spans="1:26" ht="14.4" x14ac:dyDescent="0.3">
      <c r="A201" s="24">
        <v>200</v>
      </c>
      <c r="B201" s="24">
        <v>2</v>
      </c>
      <c r="C201" s="24">
        <v>8</v>
      </c>
      <c r="D201" s="24">
        <v>5</v>
      </c>
      <c r="E201" s="24">
        <v>120</v>
      </c>
      <c r="F201" s="24" t="s">
        <v>26</v>
      </c>
      <c r="G201" s="25">
        <v>49.35</v>
      </c>
      <c r="H201" s="26">
        <f t="array" ref="H201">INDEX(Settings!$B$3:$B$7, D201)</f>
        <v>6700000</v>
      </c>
      <c r="I201" s="26">
        <f>G201*H201</f>
        <v>330645000</v>
      </c>
      <c r="J201" s="26">
        <f>I201*Settings!$B$2</f>
        <v>66129000</v>
      </c>
      <c r="K201" s="26">
        <f>I201-J201</f>
        <v>264516000</v>
      </c>
      <c r="L201" s="24" t="s">
        <v>291</v>
      </c>
      <c r="M201" s="27"/>
      <c r="N201" s="27"/>
      <c r="O201" s="27"/>
      <c r="P201" s="27"/>
      <c r="Q201" s="28"/>
      <c r="R201" s="27"/>
      <c r="S201" s="27"/>
      <c r="T201" s="28"/>
      <c r="U201" s="24" t="str">
        <f>TEXT(T201,"dd")&amp;"/"&amp;TEXT(E201,"00")</f>
        <v>dd/120</v>
      </c>
      <c r="V201" s="8" t="str">
        <f>C201&amp;"-"&amp;E201</f>
        <v>8-120</v>
      </c>
      <c r="Y201" s="9"/>
      <c r="Z201" s="9"/>
    </row>
    <row r="202" spans="1:26" ht="14.4" x14ac:dyDescent="0.3">
      <c r="A202" s="35">
        <v>201</v>
      </c>
      <c r="B202" s="36">
        <v>3</v>
      </c>
      <c r="C202" s="36">
        <v>1</v>
      </c>
      <c r="D202" s="36">
        <v>1</v>
      </c>
      <c r="E202" s="36">
        <v>1</v>
      </c>
      <c r="F202" s="36" t="s">
        <v>29</v>
      </c>
      <c r="G202" s="37">
        <v>32.47</v>
      </c>
      <c r="H202" s="38">
        <v>7700000</v>
      </c>
      <c r="I202" s="38">
        <v>250019000</v>
      </c>
      <c r="J202" s="38">
        <v>50003800</v>
      </c>
      <c r="K202" s="38">
        <v>200015200</v>
      </c>
      <c r="L202" s="36" t="s">
        <v>27</v>
      </c>
      <c r="M202" s="39" t="s">
        <v>432</v>
      </c>
      <c r="N202" s="39" t="s">
        <v>433</v>
      </c>
      <c r="O202" s="39" t="s">
        <v>434</v>
      </c>
      <c r="P202" s="39" t="s">
        <v>330</v>
      </c>
      <c r="Q202" s="40">
        <v>33708</v>
      </c>
      <c r="R202" s="39">
        <v>885859204</v>
      </c>
      <c r="S202" s="39">
        <v>880091687</v>
      </c>
      <c r="T202" s="40">
        <v>46143</v>
      </c>
      <c r="U202" s="41">
        <v>46037</v>
      </c>
      <c r="V202" s="42">
        <v>46023</v>
      </c>
      <c r="W202" s="10" t="s">
        <v>52</v>
      </c>
      <c r="Y202" s="9"/>
      <c r="Z202" s="9"/>
    </row>
    <row r="203" spans="1:26" ht="14.4" x14ac:dyDescent="0.3">
      <c r="A203" s="43">
        <v>202</v>
      </c>
      <c r="B203" s="43">
        <v>3</v>
      </c>
      <c r="C203" s="43">
        <v>1</v>
      </c>
      <c r="D203" s="43">
        <v>1</v>
      </c>
      <c r="E203" s="43">
        <v>2</v>
      </c>
      <c r="F203" s="43" t="s">
        <v>26</v>
      </c>
      <c r="G203" s="44">
        <v>42.76</v>
      </c>
      <c r="H203" s="38">
        <v>7700000</v>
      </c>
      <c r="I203" s="45">
        <v>329252000</v>
      </c>
      <c r="J203" s="45">
        <v>65850400</v>
      </c>
      <c r="K203" s="45">
        <v>263401600</v>
      </c>
      <c r="L203" s="43" t="s">
        <v>27</v>
      </c>
      <c r="M203" s="46" t="s">
        <v>435</v>
      </c>
      <c r="N203" s="46" t="s">
        <v>436</v>
      </c>
      <c r="O203" s="46" t="s">
        <v>437</v>
      </c>
      <c r="P203" s="46" t="s">
        <v>101</v>
      </c>
      <c r="Q203" s="47">
        <v>45315</v>
      </c>
      <c r="R203" s="48">
        <v>970421994</v>
      </c>
      <c r="S203" s="48">
        <v>772259694</v>
      </c>
      <c r="T203" s="47">
        <v>46146</v>
      </c>
      <c r="U203" s="43" t="s">
        <v>129</v>
      </c>
      <c r="V203" s="49">
        <v>46054</v>
      </c>
      <c r="W203" s="10" t="s">
        <v>52</v>
      </c>
      <c r="Y203" s="9"/>
      <c r="Z203" s="9"/>
    </row>
    <row r="204" spans="1:26" ht="14.4" x14ac:dyDescent="0.3">
      <c r="A204" s="35">
        <v>203</v>
      </c>
      <c r="B204" s="36">
        <v>3</v>
      </c>
      <c r="C204" s="36">
        <v>1</v>
      </c>
      <c r="D204" s="36">
        <v>1</v>
      </c>
      <c r="E204" s="36">
        <v>3</v>
      </c>
      <c r="F204" s="36" t="s">
        <v>29</v>
      </c>
      <c r="G204" s="37">
        <v>32.47</v>
      </c>
      <c r="H204" s="38">
        <f t="array" ref="H204">INDEX(Settings!$B$3:$B$7, D204)</f>
        <v>7700000</v>
      </c>
      <c r="I204" s="38">
        <f>G204*H204</f>
        <v>250019000</v>
      </c>
      <c r="J204" s="38">
        <f>I204*Settings!$B$2</f>
        <v>50003800</v>
      </c>
      <c r="K204" s="38">
        <f>I204-J204</f>
        <v>200015200</v>
      </c>
      <c r="L204" s="36" t="s">
        <v>27</v>
      </c>
      <c r="M204" s="50" t="s">
        <v>438</v>
      </c>
      <c r="N204" s="50"/>
      <c r="O204" s="50"/>
      <c r="P204" s="50"/>
      <c r="Q204" s="40"/>
      <c r="R204" s="51">
        <v>912627608</v>
      </c>
      <c r="S204" s="51"/>
      <c r="T204" s="40"/>
      <c r="U204" s="52" t="str">
        <f>TEXT(T204,"dd")&amp;"/"&amp;TEXT(E204,"00")</f>
        <v>dd/03</v>
      </c>
      <c r="V204" s="53" t="str">
        <f>C204&amp;"-"&amp;E204</f>
        <v>1-3</v>
      </c>
      <c r="W204" s="10" t="s">
        <v>42</v>
      </c>
      <c r="Y204" s="9" t="s">
        <v>439</v>
      </c>
      <c r="Z204" s="9"/>
    </row>
    <row r="205" spans="1:26" ht="14.4" x14ac:dyDescent="0.3">
      <c r="A205" s="35">
        <v>204</v>
      </c>
      <c r="B205" s="36">
        <v>3</v>
      </c>
      <c r="C205" s="36">
        <v>1</v>
      </c>
      <c r="D205" s="36">
        <v>1</v>
      </c>
      <c r="E205" s="36">
        <v>4</v>
      </c>
      <c r="F205" s="36" t="s">
        <v>29</v>
      </c>
      <c r="G205" s="37">
        <v>32.47</v>
      </c>
      <c r="H205" s="38">
        <v>7700000</v>
      </c>
      <c r="I205" s="38">
        <v>250019000</v>
      </c>
      <c r="J205" s="38">
        <v>50003800</v>
      </c>
      <c r="K205" s="38">
        <v>200015200</v>
      </c>
      <c r="L205" s="36" t="s">
        <v>27</v>
      </c>
      <c r="M205" s="39" t="s">
        <v>440</v>
      </c>
      <c r="N205" s="39" t="s">
        <v>441</v>
      </c>
      <c r="O205" s="39" t="s">
        <v>442</v>
      </c>
      <c r="P205" s="39" t="s">
        <v>201</v>
      </c>
      <c r="Q205" s="40">
        <v>43054</v>
      </c>
      <c r="R205" s="39">
        <v>973196487</v>
      </c>
      <c r="S205" s="39">
        <v>770535825</v>
      </c>
      <c r="T205" s="40">
        <v>46168</v>
      </c>
      <c r="U205" s="41">
        <v>46142</v>
      </c>
      <c r="V205" s="49">
        <v>46113</v>
      </c>
      <c r="W205" s="10" t="s">
        <v>169</v>
      </c>
      <c r="Y205" s="9"/>
      <c r="Z205" s="9"/>
    </row>
    <row r="206" spans="1:26" ht="14.4" x14ac:dyDescent="0.3">
      <c r="A206" s="43">
        <v>205</v>
      </c>
      <c r="B206" s="43">
        <v>3</v>
      </c>
      <c r="C206" s="43">
        <v>1</v>
      </c>
      <c r="D206" s="43">
        <v>2</v>
      </c>
      <c r="E206" s="43">
        <v>5</v>
      </c>
      <c r="F206" s="43" t="s">
        <v>29</v>
      </c>
      <c r="G206" s="44">
        <v>32.47</v>
      </c>
      <c r="H206" s="38">
        <f t="array" ref="H206">INDEX(Settings!$B$3:$B$7, D206)</f>
        <v>7800000</v>
      </c>
      <c r="I206" s="45">
        <f>G206*H206</f>
        <v>253266000</v>
      </c>
      <c r="J206" s="45">
        <f>I206*Settings!$B$2</f>
        <v>50653200</v>
      </c>
      <c r="K206" s="45">
        <f>I206-J206</f>
        <v>202612800</v>
      </c>
      <c r="L206" s="43" t="s">
        <v>27</v>
      </c>
      <c r="M206" s="46" t="s">
        <v>443</v>
      </c>
      <c r="N206" s="39" t="s">
        <v>444</v>
      </c>
      <c r="O206" s="46" t="s">
        <v>445</v>
      </c>
      <c r="P206" s="39" t="s">
        <v>446</v>
      </c>
      <c r="Q206" s="47">
        <v>45832</v>
      </c>
      <c r="R206" s="48">
        <v>771794243</v>
      </c>
      <c r="S206" s="48">
        <v>770386043</v>
      </c>
      <c r="T206" s="47">
        <v>46111</v>
      </c>
      <c r="U206" s="43" t="str">
        <f>TEXT(T206,"dd")&amp;"/"&amp;TEXT(E206,"00")</f>
        <v>dd/05</v>
      </c>
      <c r="V206" s="54" t="str">
        <f>C206&amp;"-"&amp;E206</f>
        <v>1-5</v>
      </c>
      <c r="Y206" s="9"/>
      <c r="Z206" s="9"/>
    </row>
    <row r="207" spans="1:26" ht="14.4" x14ac:dyDescent="0.3">
      <c r="A207" s="35">
        <v>206</v>
      </c>
      <c r="B207" s="36">
        <v>3</v>
      </c>
      <c r="C207" s="36">
        <v>1</v>
      </c>
      <c r="D207" s="36">
        <v>2</v>
      </c>
      <c r="E207" s="36">
        <v>6</v>
      </c>
      <c r="F207" s="36" t="s">
        <v>26</v>
      </c>
      <c r="G207" s="37">
        <v>42.76</v>
      </c>
      <c r="H207" s="38">
        <v>7800000</v>
      </c>
      <c r="I207" s="38">
        <v>333528000</v>
      </c>
      <c r="J207" s="38">
        <v>66705600</v>
      </c>
      <c r="K207" s="38">
        <v>266822400</v>
      </c>
      <c r="L207" s="36" t="s">
        <v>27</v>
      </c>
      <c r="M207" s="50" t="s">
        <v>447</v>
      </c>
      <c r="N207" s="50" t="s">
        <v>448</v>
      </c>
      <c r="O207" s="50" t="s">
        <v>449</v>
      </c>
      <c r="P207" s="50" t="s">
        <v>420</v>
      </c>
      <c r="Q207" s="40">
        <v>46067</v>
      </c>
      <c r="R207" s="51">
        <v>883896688</v>
      </c>
      <c r="S207" s="51">
        <v>879846688</v>
      </c>
      <c r="T207" s="40">
        <v>46156</v>
      </c>
      <c r="U207" s="41">
        <v>46203</v>
      </c>
      <c r="V207" s="49">
        <v>46174</v>
      </c>
      <c r="W207" s="10" t="s">
        <v>42</v>
      </c>
      <c r="Y207" s="9"/>
      <c r="Z207" s="9" t="s">
        <v>450</v>
      </c>
    </row>
    <row r="208" spans="1:26" ht="14.4" x14ac:dyDescent="0.3">
      <c r="A208" s="35">
        <v>207</v>
      </c>
      <c r="B208" s="36">
        <v>3</v>
      </c>
      <c r="C208" s="36">
        <v>1</v>
      </c>
      <c r="D208" s="36">
        <v>2</v>
      </c>
      <c r="E208" s="36">
        <v>7</v>
      </c>
      <c r="F208" s="36" t="s">
        <v>29</v>
      </c>
      <c r="G208" s="37">
        <v>32.47</v>
      </c>
      <c r="H208" s="38">
        <v>7800000</v>
      </c>
      <c r="I208" s="38">
        <v>253266000</v>
      </c>
      <c r="J208" s="38">
        <v>50653200</v>
      </c>
      <c r="K208" s="38">
        <v>202612800</v>
      </c>
      <c r="L208" s="36" t="s">
        <v>27</v>
      </c>
      <c r="M208" s="39" t="s">
        <v>451</v>
      </c>
      <c r="N208" s="39"/>
      <c r="O208" s="39" t="s">
        <v>49</v>
      </c>
      <c r="P208" s="39"/>
      <c r="Q208" s="40"/>
      <c r="R208" s="39" t="s">
        <v>49</v>
      </c>
      <c r="S208" s="39" t="s">
        <v>49</v>
      </c>
      <c r="T208" s="40">
        <v>46132</v>
      </c>
      <c r="U208" s="41">
        <v>46233</v>
      </c>
      <c r="V208" s="49">
        <v>46204</v>
      </c>
      <c r="W208" s="10" t="s">
        <v>63</v>
      </c>
      <c r="Y208" s="9"/>
      <c r="Z208" s="9"/>
    </row>
    <row r="209" spans="1:26" ht="14.4" x14ac:dyDescent="0.3">
      <c r="A209" s="43">
        <v>208</v>
      </c>
      <c r="B209" s="43">
        <v>3</v>
      </c>
      <c r="C209" s="43">
        <v>1</v>
      </c>
      <c r="D209" s="43">
        <v>2</v>
      </c>
      <c r="E209" s="43">
        <v>8</v>
      </c>
      <c r="F209" s="43" t="s">
        <v>29</v>
      </c>
      <c r="G209" s="44">
        <v>32.47</v>
      </c>
      <c r="H209" s="38">
        <v>7800000</v>
      </c>
      <c r="I209" s="45">
        <v>253266000</v>
      </c>
      <c r="J209" s="45">
        <v>50653200</v>
      </c>
      <c r="K209" s="45">
        <v>202612800</v>
      </c>
      <c r="L209" s="43" t="s">
        <v>27</v>
      </c>
      <c r="M209" s="39" t="s">
        <v>452</v>
      </c>
      <c r="N209" s="46"/>
      <c r="O209" s="46"/>
      <c r="P209" s="46"/>
      <c r="Q209" s="43"/>
      <c r="R209" s="48"/>
      <c r="S209" s="48"/>
      <c r="T209" s="47"/>
      <c r="U209" s="55">
        <v>46264</v>
      </c>
      <c r="V209" s="49">
        <v>46235</v>
      </c>
      <c r="W209" s="10" t="s">
        <v>63</v>
      </c>
      <c r="Y209" s="9"/>
      <c r="Z209" s="9"/>
    </row>
    <row r="210" spans="1:26" ht="14.4" x14ac:dyDescent="0.3">
      <c r="A210" s="35">
        <v>209</v>
      </c>
      <c r="B210" s="36">
        <v>3</v>
      </c>
      <c r="C210" s="36">
        <v>1</v>
      </c>
      <c r="D210" s="36">
        <v>3</v>
      </c>
      <c r="E210" s="36">
        <v>9</v>
      </c>
      <c r="F210" s="36" t="s">
        <v>29</v>
      </c>
      <c r="G210" s="37">
        <v>32.47</v>
      </c>
      <c r="H210" s="38">
        <v>7300000</v>
      </c>
      <c r="I210" s="38">
        <v>237031000</v>
      </c>
      <c r="J210" s="38">
        <v>47406200</v>
      </c>
      <c r="K210" s="38">
        <v>189624800</v>
      </c>
      <c r="L210" s="36" t="s">
        <v>27</v>
      </c>
      <c r="M210" s="50" t="s">
        <v>453</v>
      </c>
      <c r="N210" s="50" t="s">
        <v>454</v>
      </c>
      <c r="O210" s="50" t="s">
        <v>455</v>
      </c>
      <c r="P210" s="50" t="s">
        <v>456</v>
      </c>
      <c r="Q210" s="40">
        <v>46368</v>
      </c>
      <c r="R210" s="51">
        <v>993415939</v>
      </c>
      <c r="S210" s="51">
        <v>993415949</v>
      </c>
      <c r="T210" s="40">
        <v>46129</v>
      </c>
      <c r="U210" s="41">
        <v>46295</v>
      </c>
      <c r="V210" s="49">
        <v>46266</v>
      </c>
      <c r="W210" s="10" t="s">
        <v>63</v>
      </c>
      <c r="Y210" s="9"/>
      <c r="Z210" s="9"/>
    </row>
    <row r="211" spans="1:26" ht="14.4" x14ac:dyDescent="0.3">
      <c r="A211" s="35">
        <v>210</v>
      </c>
      <c r="B211" s="36">
        <v>3</v>
      </c>
      <c r="C211" s="36">
        <v>1</v>
      </c>
      <c r="D211" s="36">
        <v>3</v>
      </c>
      <c r="E211" s="36">
        <v>10</v>
      </c>
      <c r="F211" s="36" t="s">
        <v>26</v>
      </c>
      <c r="G211" s="37">
        <v>42.76</v>
      </c>
      <c r="H211" s="38">
        <f t="array" ref="H211">INDEX(Settings!$B$3:$B$7, D211)</f>
        <v>7300000</v>
      </c>
      <c r="I211" s="38">
        <f>G211*H211</f>
        <v>312148000</v>
      </c>
      <c r="J211" s="38">
        <f>I211*Settings!$B$2</f>
        <v>62429600</v>
      </c>
      <c r="K211" s="38">
        <f>I211-J211</f>
        <v>249718400</v>
      </c>
      <c r="L211" s="36" t="s">
        <v>27</v>
      </c>
      <c r="M211" s="39" t="s">
        <v>457</v>
      </c>
      <c r="N211" s="39" t="s">
        <v>458</v>
      </c>
      <c r="O211" s="39" t="s">
        <v>459</v>
      </c>
      <c r="P211" s="39" t="s">
        <v>446</v>
      </c>
      <c r="Q211" s="40">
        <v>42983</v>
      </c>
      <c r="R211" s="39">
        <v>883271333</v>
      </c>
      <c r="S211" s="39">
        <v>882126900</v>
      </c>
      <c r="T211" s="40">
        <v>46123</v>
      </c>
      <c r="U211" s="52" t="str">
        <f>TEXT(T211,"dd")&amp;"/"&amp;TEXT(E211,"00")</f>
        <v>dd/10</v>
      </c>
      <c r="V211" s="54" t="str">
        <f>C211&amp;"-"&amp;E211</f>
        <v>1-10</v>
      </c>
      <c r="Y211" s="9"/>
      <c r="Z211" s="9"/>
    </row>
    <row r="212" spans="1:26" ht="14.4" x14ac:dyDescent="0.3">
      <c r="A212" s="43">
        <v>211</v>
      </c>
      <c r="B212" s="43">
        <v>3</v>
      </c>
      <c r="C212" s="43">
        <v>1</v>
      </c>
      <c r="D212" s="43">
        <v>3</v>
      </c>
      <c r="E212" s="43">
        <v>11</v>
      </c>
      <c r="F212" s="43" t="s">
        <v>29</v>
      </c>
      <c r="G212" s="44">
        <v>32.47</v>
      </c>
      <c r="H212" s="38">
        <v>7300000</v>
      </c>
      <c r="I212" s="45">
        <v>237031000</v>
      </c>
      <c r="J212" s="38">
        <f>I212*Settings!$B$2</f>
        <v>47406200</v>
      </c>
      <c r="K212" s="45">
        <v>189624800</v>
      </c>
      <c r="L212" s="43" t="s">
        <v>27</v>
      </c>
      <c r="M212" s="46" t="s">
        <v>460</v>
      </c>
      <c r="N212" s="46" t="s">
        <v>461</v>
      </c>
      <c r="O212" s="46" t="s">
        <v>462</v>
      </c>
      <c r="P212" s="46" t="s">
        <v>126</v>
      </c>
      <c r="Q212" s="47">
        <v>25045</v>
      </c>
      <c r="R212" s="48">
        <v>912265998</v>
      </c>
      <c r="S212" s="48">
        <v>502071594</v>
      </c>
      <c r="T212" s="47">
        <v>46145</v>
      </c>
      <c r="U212" s="56">
        <v>46352</v>
      </c>
      <c r="V212" s="49">
        <v>46327</v>
      </c>
      <c r="W212" s="10" t="s">
        <v>42</v>
      </c>
      <c r="Y212" s="9"/>
      <c r="Z212" s="9"/>
    </row>
    <row r="213" spans="1:26" ht="14.4" x14ac:dyDescent="0.3">
      <c r="A213" s="35">
        <v>212</v>
      </c>
      <c r="B213" s="36">
        <v>3</v>
      </c>
      <c r="C213" s="36">
        <v>1</v>
      </c>
      <c r="D213" s="36">
        <v>3</v>
      </c>
      <c r="E213" s="36">
        <v>12</v>
      </c>
      <c r="F213" s="36" t="s">
        <v>29</v>
      </c>
      <c r="G213" s="37">
        <v>32.47</v>
      </c>
      <c r="H213" s="38">
        <v>7300000</v>
      </c>
      <c r="I213" s="38">
        <v>237031000</v>
      </c>
      <c r="J213" s="38">
        <f>I213*Settings!$B$2</f>
        <v>47406200</v>
      </c>
      <c r="K213" s="38">
        <v>189624800</v>
      </c>
      <c r="L213" s="36" t="s">
        <v>27</v>
      </c>
      <c r="M213" s="50" t="s">
        <v>463</v>
      </c>
      <c r="N213" s="50" t="s">
        <v>464</v>
      </c>
      <c r="O213" s="50" t="s">
        <v>465</v>
      </c>
      <c r="P213" s="50" t="s">
        <v>201</v>
      </c>
      <c r="Q213" s="40">
        <v>43158</v>
      </c>
      <c r="R213" s="51">
        <v>779650109</v>
      </c>
      <c r="S213" s="51">
        <v>915700103</v>
      </c>
      <c r="T213" s="40">
        <v>46166</v>
      </c>
      <c r="U213" s="57">
        <v>46383</v>
      </c>
      <c r="V213" s="49">
        <v>46357</v>
      </c>
      <c r="W213" s="10" t="s">
        <v>169</v>
      </c>
      <c r="Y213" s="9"/>
      <c r="Z213" s="9"/>
    </row>
    <row r="214" spans="1:26" ht="14.4" x14ac:dyDescent="0.3">
      <c r="A214" s="35">
        <v>213</v>
      </c>
      <c r="B214" s="36">
        <v>3</v>
      </c>
      <c r="C214" s="36">
        <v>1</v>
      </c>
      <c r="D214" s="36">
        <v>4</v>
      </c>
      <c r="E214" s="36">
        <v>13</v>
      </c>
      <c r="F214" s="36" t="s">
        <v>29</v>
      </c>
      <c r="G214" s="37">
        <v>32.47</v>
      </c>
      <c r="H214" s="38">
        <f t="array" ref="H214">INDEX(Settings!$B$3:$B$7, D214)</f>
        <v>7000000</v>
      </c>
      <c r="I214" s="38">
        <f t="shared" ref="I214:I216" si="63">G214*H214</f>
        <v>227290000</v>
      </c>
      <c r="J214" s="38">
        <f>I214*Settings!$B$2</f>
        <v>45458000</v>
      </c>
      <c r="K214" s="38">
        <f t="shared" ref="K214:K321" si="64">I214-J214</f>
        <v>181832000</v>
      </c>
      <c r="L214" s="36" t="s">
        <v>27</v>
      </c>
      <c r="M214" s="39" t="s">
        <v>466</v>
      </c>
      <c r="N214" s="39" t="s">
        <v>467</v>
      </c>
      <c r="O214" s="39" t="s">
        <v>468</v>
      </c>
      <c r="P214" s="39" t="s">
        <v>187</v>
      </c>
      <c r="Q214" s="40">
        <v>43304</v>
      </c>
      <c r="R214" s="39">
        <v>979508329</v>
      </c>
      <c r="S214" s="39">
        <v>881017930</v>
      </c>
      <c r="T214" s="40">
        <v>46119</v>
      </c>
      <c r="U214" s="52" t="str">
        <f t="shared" ref="U214:U216" si="65">TEXT(T214,"dd")&amp;"/"&amp;TEXT(E214,"00")</f>
        <v>dd/13</v>
      </c>
      <c r="V214" s="54" t="str">
        <f t="shared" ref="V214:V216" si="66">C214&amp;"-"&amp;E214</f>
        <v>1-13</v>
      </c>
      <c r="Y214" s="9"/>
      <c r="Z214" s="9"/>
    </row>
    <row r="215" spans="1:26" ht="14.4" x14ac:dyDescent="0.3">
      <c r="A215" s="43">
        <v>214</v>
      </c>
      <c r="B215" s="43">
        <v>3</v>
      </c>
      <c r="C215" s="43">
        <v>1</v>
      </c>
      <c r="D215" s="43">
        <v>4</v>
      </c>
      <c r="E215" s="43">
        <v>14</v>
      </c>
      <c r="F215" s="43" t="s">
        <v>26</v>
      </c>
      <c r="G215" s="44">
        <v>42.76</v>
      </c>
      <c r="H215" s="38">
        <f t="array" ref="H215">INDEX(Settings!$B$3:$B$7, D215)</f>
        <v>7000000</v>
      </c>
      <c r="I215" s="45">
        <f t="shared" si="63"/>
        <v>299320000</v>
      </c>
      <c r="J215" s="38">
        <f>I215*Settings!$B$2</f>
        <v>59864000</v>
      </c>
      <c r="K215" s="38">
        <f t="shared" si="64"/>
        <v>239456000</v>
      </c>
      <c r="L215" s="43" t="s">
        <v>27</v>
      </c>
      <c r="M215" s="46" t="s">
        <v>469</v>
      </c>
      <c r="N215" s="46"/>
      <c r="O215" s="46" t="s">
        <v>470</v>
      </c>
      <c r="P215" s="46" t="s">
        <v>187</v>
      </c>
      <c r="Q215" s="47">
        <v>43902</v>
      </c>
      <c r="R215" s="48">
        <v>914647477</v>
      </c>
      <c r="S215" s="48">
        <v>771401532</v>
      </c>
      <c r="T215" s="47">
        <v>46104</v>
      </c>
      <c r="U215" s="43" t="str">
        <f t="shared" si="65"/>
        <v>dd/14</v>
      </c>
      <c r="V215" s="54" t="str">
        <f t="shared" si="66"/>
        <v>1-14</v>
      </c>
      <c r="Y215" s="9"/>
      <c r="Z215" s="9"/>
    </row>
    <row r="216" spans="1:26" ht="14.4" x14ac:dyDescent="0.3">
      <c r="A216" s="35">
        <v>215</v>
      </c>
      <c r="B216" s="36">
        <v>3</v>
      </c>
      <c r="C216" s="36">
        <v>1</v>
      </c>
      <c r="D216" s="36">
        <v>4</v>
      </c>
      <c r="E216" s="36">
        <v>15</v>
      </c>
      <c r="F216" s="36" t="s">
        <v>29</v>
      </c>
      <c r="G216" s="37">
        <v>32.47</v>
      </c>
      <c r="H216" s="38">
        <f t="array" ref="H216">INDEX(Settings!$B$3:$B$7, D216)</f>
        <v>7000000</v>
      </c>
      <c r="I216" s="38">
        <f t="shared" si="63"/>
        <v>227290000</v>
      </c>
      <c r="J216" s="38">
        <f>I216*Settings!$B$2</f>
        <v>45458000</v>
      </c>
      <c r="K216" s="38">
        <f t="shared" si="64"/>
        <v>181832000</v>
      </c>
      <c r="L216" s="36" t="s">
        <v>27</v>
      </c>
      <c r="M216" s="50" t="s">
        <v>471</v>
      </c>
      <c r="N216" s="50" t="s">
        <v>472</v>
      </c>
      <c r="O216" s="50" t="s">
        <v>473</v>
      </c>
      <c r="P216" s="50" t="s">
        <v>187</v>
      </c>
      <c r="Q216" s="40">
        <v>42571</v>
      </c>
      <c r="R216" s="51">
        <v>976320631</v>
      </c>
      <c r="S216" s="51">
        <v>973031661</v>
      </c>
      <c r="T216" s="40">
        <v>46112</v>
      </c>
      <c r="U216" s="52" t="str">
        <f t="shared" si="65"/>
        <v>dd/15</v>
      </c>
      <c r="V216" s="54" t="str">
        <f t="shared" si="66"/>
        <v>1-15</v>
      </c>
      <c r="Y216" s="9"/>
      <c r="Z216" s="9"/>
    </row>
    <row r="217" spans="1:26" ht="14.4" x14ac:dyDescent="0.3">
      <c r="A217" s="35">
        <v>216</v>
      </c>
      <c r="B217" s="36">
        <v>3</v>
      </c>
      <c r="C217" s="36">
        <v>1</v>
      </c>
      <c r="D217" s="36">
        <v>4</v>
      </c>
      <c r="E217" s="36">
        <v>16</v>
      </c>
      <c r="F217" s="36" t="s">
        <v>29</v>
      </c>
      <c r="G217" s="37">
        <v>32.47</v>
      </c>
      <c r="H217" s="38">
        <v>7000000</v>
      </c>
      <c r="I217" s="38">
        <v>227290000</v>
      </c>
      <c r="J217" s="38">
        <f>I217*Settings!$B$2</f>
        <v>45458000</v>
      </c>
      <c r="K217" s="38">
        <f t="shared" si="64"/>
        <v>181832000</v>
      </c>
      <c r="L217" s="36" t="s">
        <v>27</v>
      </c>
      <c r="M217" s="39" t="s">
        <v>474</v>
      </c>
      <c r="N217" s="39" t="s">
        <v>475</v>
      </c>
      <c r="O217" s="39" t="s">
        <v>476</v>
      </c>
      <c r="P217" s="39" t="s">
        <v>477</v>
      </c>
      <c r="Q217" s="40">
        <v>43266</v>
      </c>
      <c r="R217" s="39">
        <v>880087785</v>
      </c>
      <c r="S217" s="39">
        <v>908748544</v>
      </c>
      <c r="T217" s="40">
        <v>46129</v>
      </c>
      <c r="U217" s="52" t="s">
        <v>163</v>
      </c>
      <c r="V217" s="54" t="s">
        <v>478</v>
      </c>
      <c r="W217" s="10" t="s">
        <v>42</v>
      </c>
      <c r="Y217" s="9"/>
      <c r="Z217" s="9"/>
    </row>
    <row r="218" spans="1:26" ht="14.4" x14ac:dyDescent="0.3">
      <c r="A218" s="43">
        <v>217</v>
      </c>
      <c r="B218" s="43">
        <v>3</v>
      </c>
      <c r="C218" s="43">
        <v>1</v>
      </c>
      <c r="D218" s="43">
        <v>5</v>
      </c>
      <c r="E218" s="43">
        <v>17</v>
      </c>
      <c r="F218" s="43" t="s">
        <v>29</v>
      </c>
      <c r="G218" s="44">
        <v>32.47</v>
      </c>
      <c r="H218" s="38">
        <f t="array" ref="H218">INDEX(Settings!$B$3:$B$7, D218)</f>
        <v>6700000</v>
      </c>
      <c r="I218" s="45">
        <f>G218*H218</f>
        <v>217549000</v>
      </c>
      <c r="J218" s="38">
        <f>I218*Settings!$B$2</f>
        <v>43509800</v>
      </c>
      <c r="K218" s="38">
        <f t="shared" si="64"/>
        <v>174039200</v>
      </c>
      <c r="L218" s="43" t="s">
        <v>27</v>
      </c>
      <c r="M218" s="46" t="s">
        <v>479</v>
      </c>
      <c r="N218" s="46"/>
      <c r="O218" s="46"/>
      <c r="P218" s="46"/>
      <c r="Q218" s="47"/>
      <c r="R218" s="48"/>
      <c r="S218" s="48"/>
      <c r="T218" s="47"/>
      <c r="U218" s="43" t="str">
        <f>TEXT(T218,"dd")&amp;"/"&amp;TEXT(E218,"00")</f>
        <v>dd/17</v>
      </c>
      <c r="V218" s="54" t="str">
        <f>C218&amp;"-"&amp;E218</f>
        <v>1-17</v>
      </c>
      <c r="W218" s="10" t="s">
        <v>42</v>
      </c>
      <c r="Y218" s="9" t="s">
        <v>411</v>
      </c>
      <c r="Z218" s="9"/>
    </row>
    <row r="219" spans="1:26" ht="14.4" x14ac:dyDescent="0.3">
      <c r="A219" s="35">
        <v>218</v>
      </c>
      <c r="B219" s="36">
        <v>3</v>
      </c>
      <c r="C219" s="36">
        <v>1</v>
      </c>
      <c r="D219" s="36">
        <v>5</v>
      </c>
      <c r="E219" s="36">
        <v>18</v>
      </c>
      <c r="F219" s="36" t="s">
        <v>26</v>
      </c>
      <c r="G219" s="37">
        <v>42.76</v>
      </c>
      <c r="H219" s="38">
        <v>6700000</v>
      </c>
      <c r="I219" s="38">
        <v>286492000</v>
      </c>
      <c r="J219" s="38">
        <f>I219*Settings!$B$2</f>
        <v>57298400</v>
      </c>
      <c r="K219" s="38">
        <f t="shared" si="64"/>
        <v>229193600</v>
      </c>
      <c r="L219" s="36" t="s">
        <v>27</v>
      </c>
      <c r="M219" s="50" t="s">
        <v>480</v>
      </c>
      <c r="N219" s="50" t="s">
        <v>481</v>
      </c>
      <c r="O219" s="50" t="s">
        <v>482</v>
      </c>
      <c r="P219" s="50" t="s">
        <v>483</v>
      </c>
      <c r="Q219" s="40">
        <v>42640</v>
      </c>
      <c r="R219" s="51">
        <v>507004019</v>
      </c>
      <c r="S219" s="51">
        <v>949947398</v>
      </c>
      <c r="T219" s="40">
        <v>46162</v>
      </c>
      <c r="U219" s="52" t="s">
        <v>167</v>
      </c>
      <c r="V219" s="54" t="s">
        <v>484</v>
      </c>
      <c r="W219" s="10" t="s">
        <v>63</v>
      </c>
      <c r="Y219" s="9"/>
      <c r="Z219" s="9" t="s">
        <v>485</v>
      </c>
    </row>
    <row r="220" spans="1:26" ht="14.4" x14ac:dyDescent="0.3">
      <c r="A220" s="58">
        <v>219</v>
      </c>
      <c r="B220" s="58">
        <v>3</v>
      </c>
      <c r="C220" s="58">
        <v>1</v>
      </c>
      <c r="D220" s="58">
        <v>5</v>
      </c>
      <c r="E220" s="58">
        <v>19</v>
      </c>
      <c r="F220" s="58" t="s">
        <v>29</v>
      </c>
      <c r="G220" s="59">
        <v>32.47</v>
      </c>
      <c r="H220" s="38">
        <f t="array" ref="H220">INDEX(Settings!$B$3:$B$7, D220)</f>
        <v>6700000</v>
      </c>
      <c r="I220" s="60">
        <f>G220*H220</f>
        <v>217549000</v>
      </c>
      <c r="J220" s="38">
        <f>I220*Settings!$B$2</f>
        <v>43509800</v>
      </c>
      <c r="K220" s="38">
        <f t="shared" si="64"/>
        <v>174039200</v>
      </c>
      <c r="L220" s="58" t="s">
        <v>27</v>
      </c>
      <c r="M220" s="46" t="s">
        <v>486</v>
      </c>
      <c r="N220" s="46" t="s">
        <v>487</v>
      </c>
      <c r="O220" s="46" t="s">
        <v>488</v>
      </c>
      <c r="P220" s="46" t="s">
        <v>187</v>
      </c>
      <c r="Q220" s="61">
        <v>43592</v>
      </c>
      <c r="R220" s="48">
        <v>951542775</v>
      </c>
      <c r="S220" s="48">
        <v>910701746</v>
      </c>
      <c r="T220" s="61">
        <v>46104</v>
      </c>
      <c r="U220" s="58" t="str">
        <f>TEXT(T220,"dd")&amp;"/"&amp;TEXT(E220,"00")</f>
        <v>dd/19</v>
      </c>
      <c r="V220" s="54" t="str">
        <f>C220&amp;"-"&amp;E220</f>
        <v>1-19</v>
      </c>
      <c r="Y220" s="9"/>
      <c r="Z220" s="9"/>
    </row>
    <row r="221" spans="1:26" ht="14.4" x14ac:dyDescent="0.3">
      <c r="A221" s="35">
        <v>220</v>
      </c>
      <c r="B221" s="36">
        <v>3</v>
      </c>
      <c r="C221" s="36">
        <v>1</v>
      </c>
      <c r="D221" s="36">
        <v>5</v>
      </c>
      <c r="E221" s="36">
        <v>20</v>
      </c>
      <c r="F221" s="36" t="s">
        <v>29</v>
      </c>
      <c r="G221" s="37">
        <v>32.47</v>
      </c>
      <c r="H221" s="38">
        <v>6700000</v>
      </c>
      <c r="I221" s="38">
        <v>217549000</v>
      </c>
      <c r="J221" s="38">
        <f>I221*Settings!$B$2</f>
        <v>43509800</v>
      </c>
      <c r="K221" s="38">
        <f t="shared" si="64"/>
        <v>174039200</v>
      </c>
      <c r="L221" s="36" t="s">
        <v>27</v>
      </c>
      <c r="M221" s="62" t="s">
        <v>489</v>
      </c>
      <c r="N221" s="39" t="s">
        <v>490</v>
      </c>
      <c r="O221" s="39" t="s">
        <v>491</v>
      </c>
      <c r="P221" s="39" t="s">
        <v>201</v>
      </c>
      <c r="Q221" s="40">
        <v>43117</v>
      </c>
      <c r="R221" s="39">
        <v>887640066</v>
      </c>
      <c r="S221" s="39">
        <v>883839727</v>
      </c>
      <c r="T221" s="40">
        <v>46178</v>
      </c>
      <c r="U221" s="52" t="s">
        <v>492</v>
      </c>
      <c r="V221" s="53" t="s">
        <v>493</v>
      </c>
      <c r="W221" s="10" t="s">
        <v>169</v>
      </c>
      <c r="Y221" s="9" t="s">
        <v>494</v>
      </c>
      <c r="Z221" s="9"/>
    </row>
    <row r="222" spans="1:26" ht="14.4" x14ac:dyDescent="0.3">
      <c r="A222" s="63">
        <v>221</v>
      </c>
      <c r="B222" s="63" t="s">
        <v>495</v>
      </c>
      <c r="C222" s="63">
        <v>1</v>
      </c>
      <c r="D222" s="63">
        <v>1</v>
      </c>
      <c r="E222" s="63">
        <v>1</v>
      </c>
      <c r="F222" s="63" t="s">
        <v>496</v>
      </c>
      <c r="G222" s="64">
        <v>61.4</v>
      </c>
      <c r="H222" s="65">
        <f t="array" ref="H222">INDEX(Settings!$B$3:$B$7, D222)</f>
        <v>7700000</v>
      </c>
      <c r="I222" s="65">
        <f t="shared" ref="I222:I321" si="67">G222*H222</f>
        <v>472780000</v>
      </c>
      <c r="J222" s="65">
        <f>I222*Settings!$B$2</f>
        <v>94556000</v>
      </c>
      <c r="K222" s="65">
        <f t="shared" si="64"/>
        <v>378224000</v>
      </c>
      <c r="L222" s="36" t="s">
        <v>291</v>
      </c>
      <c r="M222" s="66"/>
      <c r="N222" s="66"/>
      <c r="O222" s="66"/>
      <c r="P222" s="66"/>
      <c r="Q222" s="67"/>
      <c r="R222" s="68"/>
      <c r="S222" s="68"/>
      <c r="T222" s="67"/>
      <c r="U222" s="63"/>
      <c r="V222" s="54"/>
      <c r="Y222" s="9"/>
      <c r="Z222" s="9"/>
    </row>
    <row r="223" spans="1:26" ht="14.4" x14ac:dyDescent="0.3">
      <c r="A223" s="69">
        <v>222</v>
      </c>
      <c r="B223" s="70" t="s">
        <v>497</v>
      </c>
      <c r="C223" s="70">
        <v>1</v>
      </c>
      <c r="D223" s="70">
        <v>1</v>
      </c>
      <c r="E223" s="70">
        <v>2</v>
      </c>
      <c r="F223" s="70" t="s">
        <v>29</v>
      </c>
      <c r="G223" s="71">
        <v>32.979999999999997</v>
      </c>
      <c r="H223" s="65">
        <f t="array" ref="H223">INDEX(Settings!$B$3:$B$7, D223)</f>
        <v>7700000</v>
      </c>
      <c r="I223" s="72">
        <f t="shared" si="67"/>
        <v>253945999.99999997</v>
      </c>
      <c r="J223" s="65">
        <f>I223*Settings!$B$2</f>
        <v>50789200</v>
      </c>
      <c r="K223" s="65">
        <f t="shared" si="64"/>
        <v>203156799.99999997</v>
      </c>
      <c r="L223" s="36" t="s">
        <v>291</v>
      </c>
      <c r="M223" s="73"/>
      <c r="N223" s="74"/>
      <c r="O223" s="74"/>
      <c r="P223" s="74"/>
      <c r="Q223" s="75"/>
      <c r="R223" s="74"/>
      <c r="S223" s="74"/>
      <c r="T223" s="75"/>
      <c r="U223" s="76"/>
      <c r="V223" s="53"/>
      <c r="W223" s="10"/>
      <c r="Y223" s="9"/>
      <c r="Z223" s="9"/>
    </row>
    <row r="224" spans="1:26" ht="14.4" x14ac:dyDescent="0.3">
      <c r="A224" s="77">
        <v>223</v>
      </c>
      <c r="B224" s="77" t="s">
        <v>497</v>
      </c>
      <c r="C224" s="77">
        <v>1</v>
      </c>
      <c r="D224" s="77">
        <v>1</v>
      </c>
      <c r="E224" s="77">
        <v>3</v>
      </c>
      <c r="F224" s="77" t="s">
        <v>26</v>
      </c>
      <c r="G224" s="78">
        <v>48.72</v>
      </c>
      <c r="H224" s="65">
        <f t="array" ref="H224">INDEX(Settings!$B$3:$B$7, D224)</f>
        <v>7700000</v>
      </c>
      <c r="I224" s="65">
        <f t="shared" si="67"/>
        <v>375144000</v>
      </c>
      <c r="J224" s="65">
        <f>I224*Settings!$B$2</f>
        <v>75028800</v>
      </c>
      <c r="K224" s="65">
        <f t="shared" si="64"/>
        <v>300115200</v>
      </c>
      <c r="L224" s="36" t="s">
        <v>291</v>
      </c>
      <c r="M224" s="66"/>
      <c r="N224" s="66"/>
      <c r="O224" s="66"/>
      <c r="P224" s="66"/>
      <c r="Q224" s="79"/>
      <c r="R224" s="68"/>
      <c r="S224" s="68"/>
      <c r="T224" s="79"/>
      <c r="U224" s="77"/>
      <c r="V224" s="54"/>
      <c r="Y224" s="9"/>
      <c r="Z224" s="9"/>
    </row>
    <row r="225" spans="1:26" ht="14.4" x14ac:dyDescent="0.3">
      <c r="A225" s="69">
        <v>221</v>
      </c>
      <c r="B225" s="70" t="s">
        <v>495</v>
      </c>
      <c r="C225" s="70">
        <v>1</v>
      </c>
      <c r="D225" s="70">
        <v>2</v>
      </c>
      <c r="E225" s="70">
        <v>4</v>
      </c>
      <c r="F225" s="70" t="s">
        <v>496</v>
      </c>
      <c r="G225" s="71">
        <v>61.4</v>
      </c>
      <c r="H225" s="65">
        <f t="array" ref="H225">INDEX(Settings!$B$3:$B$7, D225)</f>
        <v>7800000</v>
      </c>
      <c r="I225" s="72">
        <f t="shared" si="67"/>
        <v>478920000</v>
      </c>
      <c r="J225" s="65">
        <f>I225*Settings!$B$2</f>
        <v>95784000</v>
      </c>
      <c r="K225" s="65">
        <f t="shared" si="64"/>
        <v>383136000</v>
      </c>
      <c r="L225" s="36" t="s">
        <v>291</v>
      </c>
      <c r="M225" s="73"/>
      <c r="N225" s="74"/>
      <c r="O225" s="74"/>
      <c r="P225" s="74"/>
      <c r="Q225" s="75"/>
      <c r="R225" s="74"/>
      <c r="S225" s="74"/>
      <c r="T225" s="75"/>
      <c r="U225" s="76"/>
      <c r="V225" s="53"/>
      <c r="W225" s="10"/>
      <c r="Y225" s="9"/>
      <c r="Z225" s="9"/>
    </row>
    <row r="226" spans="1:26" ht="14.4" x14ac:dyDescent="0.3">
      <c r="A226" s="77">
        <v>222</v>
      </c>
      <c r="B226" s="77" t="s">
        <v>497</v>
      </c>
      <c r="C226" s="77">
        <v>1</v>
      </c>
      <c r="D226" s="77">
        <v>2</v>
      </c>
      <c r="E226" s="77">
        <v>5</v>
      </c>
      <c r="F226" s="77" t="s">
        <v>29</v>
      </c>
      <c r="G226" s="78">
        <v>32.979999999999997</v>
      </c>
      <c r="H226" s="65">
        <f t="array" ref="H226">INDEX(Settings!$B$3:$B$7, D226)</f>
        <v>7800000</v>
      </c>
      <c r="I226" s="65">
        <f t="shared" si="67"/>
        <v>257243999.99999997</v>
      </c>
      <c r="J226" s="65">
        <f>I226*Settings!$B$2</f>
        <v>51448800</v>
      </c>
      <c r="K226" s="65">
        <f t="shared" si="64"/>
        <v>205795199.99999997</v>
      </c>
      <c r="L226" s="36" t="s">
        <v>291</v>
      </c>
      <c r="M226" s="66"/>
      <c r="N226" s="66"/>
      <c r="O226" s="66"/>
      <c r="P226" s="66"/>
      <c r="Q226" s="79"/>
      <c r="R226" s="68"/>
      <c r="S226" s="68"/>
      <c r="T226" s="79"/>
      <c r="U226" s="77"/>
      <c r="V226" s="54"/>
      <c r="Y226" s="9"/>
      <c r="Z226" s="9"/>
    </row>
    <row r="227" spans="1:26" ht="14.4" x14ac:dyDescent="0.3">
      <c r="A227" s="69">
        <v>223</v>
      </c>
      <c r="B227" s="70" t="s">
        <v>497</v>
      </c>
      <c r="C227" s="70">
        <v>1</v>
      </c>
      <c r="D227" s="70">
        <v>2</v>
      </c>
      <c r="E227" s="70">
        <v>6</v>
      </c>
      <c r="F227" s="70" t="s">
        <v>26</v>
      </c>
      <c r="G227" s="71">
        <v>48.72</v>
      </c>
      <c r="H227" s="65">
        <f t="array" ref="H227">INDEX(Settings!$B$3:$B$7, D227)</f>
        <v>7800000</v>
      </c>
      <c r="I227" s="72">
        <f t="shared" si="67"/>
        <v>380016000</v>
      </c>
      <c r="J227" s="65">
        <f>I227*Settings!$B$2</f>
        <v>76003200</v>
      </c>
      <c r="K227" s="65">
        <f t="shared" si="64"/>
        <v>304012800</v>
      </c>
      <c r="L227" s="36" t="s">
        <v>291</v>
      </c>
      <c r="M227" s="73"/>
      <c r="N227" s="74"/>
      <c r="O227" s="74"/>
      <c r="P227" s="74"/>
      <c r="Q227" s="75"/>
      <c r="R227" s="74"/>
      <c r="S227" s="74"/>
      <c r="T227" s="75"/>
      <c r="U227" s="76"/>
      <c r="V227" s="53"/>
      <c r="W227" s="10"/>
      <c r="Y227" s="9"/>
      <c r="Z227" s="9"/>
    </row>
    <row r="228" spans="1:26" ht="14.4" x14ac:dyDescent="0.3">
      <c r="A228" s="77">
        <v>221</v>
      </c>
      <c r="B228" s="77" t="s">
        <v>495</v>
      </c>
      <c r="C228" s="77">
        <v>1</v>
      </c>
      <c r="D228" s="77">
        <v>3</v>
      </c>
      <c r="E228" s="77">
        <v>7</v>
      </c>
      <c r="F228" s="77" t="s">
        <v>496</v>
      </c>
      <c r="G228" s="78">
        <v>61.4</v>
      </c>
      <c r="H228" s="65">
        <f t="array" ref="H228">INDEX(Settings!$B$3:$B$7, D228)</f>
        <v>7300000</v>
      </c>
      <c r="I228" s="65">
        <f t="shared" si="67"/>
        <v>448220000</v>
      </c>
      <c r="J228" s="65">
        <f>I228*Settings!$B$2</f>
        <v>89644000</v>
      </c>
      <c r="K228" s="65">
        <f t="shared" si="64"/>
        <v>358576000</v>
      </c>
      <c r="L228" s="36" t="s">
        <v>291</v>
      </c>
      <c r="M228" s="66"/>
      <c r="N228" s="66"/>
      <c r="O228" s="66"/>
      <c r="P228" s="66"/>
      <c r="Q228" s="79"/>
      <c r="R228" s="68"/>
      <c r="S228" s="68"/>
      <c r="T228" s="79"/>
      <c r="U228" s="77"/>
      <c r="V228" s="54"/>
      <c r="Y228" s="9"/>
      <c r="Z228" s="9"/>
    </row>
    <row r="229" spans="1:26" ht="14.4" x14ac:dyDescent="0.3">
      <c r="A229" s="69">
        <v>222</v>
      </c>
      <c r="B229" s="70" t="s">
        <v>497</v>
      </c>
      <c r="C229" s="70">
        <v>1</v>
      </c>
      <c r="D229" s="70">
        <v>3</v>
      </c>
      <c r="E229" s="70">
        <v>8</v>
      </c>
      <c r="F229" s="70" t="s">
        <v>29</v>
      </c>
      <c r="G229" s="71">
        <v>32.979999999999997</v>
      </c>
      <c r="H229" s="65">
        <f t="array" ref="H229">INDEX(Settings!$B$3:$B$7, D229)</f>
        <v>7300000</v>
      </c>
      <c r="I229" s="72">
        <f t="shared" si="67"/>
        <v>240753999.99999997</v>
      </c>
      <c r="J229" s="65">
        <f>I229*Settings!$B$2</f>
        <v>48150800</v>
      </c>
      <c r="K229" s="65">
        <f t="shared" si="64"/>
        <v>192603199.99999997</v>
      </c>
      <c r="L229" s="36" t="s">
        <v>291</v>
      </c>
      <c r="M229" s="73"/>
      <c r="N229" s="74"/>
      <c r="O229" s="74"/>
      <c r="P229" s="74"/>
      <c r="Q229" s="75"/>
      <c r="R229" s="74"/>
      <c r="S229" s="74"/>
      <c r="T229" s="75"/>
      <c r="U229" s="76"/>
      <c r="V229" s="53"/>
      <c r="W229" s="10"/>
      <c r="Y229" s="9"/>
      <c r="Z229" s="9"/>
    </row>
    <row r="230" spans="1:26" ht="14.4" x14ac:dyDescent="0.3">
      <c r="A230" s="77">
        <v>223</v>
      </c>
      <c r="B230" s="77" t="s">
        <v>497</v>
      </c>
      <c r="C230" s="77">
        <v>1</v>
      </c>
      <c r="D230" s="77">
        <v>3</v>
      </c>
      <c r="E230" s="77">
        <v>9</v>
      </c>
      <c r="F230" s="77" t="s">
        <v>26</v>
      </c>
      <c r="G230" s="78">
        <v>48.72</v>
      </c>
      <c r="H230" s="65">
        <f t="array" ref="H230">INDEX(Settings!$B$3:$B$7, D230)</f>
        <v>7300000</v>
      </c>
      <c r="I230" s="65">
        <f t="shared" si="67"/>
        <v>355656000</v>
      </c>
      <c r="J230" s="65">
        <f>I230*Settings!$B$2</f>
        <v>71131200</v>
      </c>
      <c r="K230" s="65">
        <f t="shared" si="64"/>
        <v>284524800</v>
      </c>
      <c r="L230" s="36" t="s">
        <v>291</v>
      </c>
      <c r="M230" s="66"/>
      <c r="N230" s="66"/>
      <c r="O230" s="66"/>
      <c r="P230" s="66"/>
      <c r="Q230" s="79"/>
      <c r="R230" s="68"/>
      <c r="S230" s="68"/>
      <c r="T230" s="79"/>
      <c r="U230" s="77"/>
      <c r="V230" s="54"/>
      <c r="Y230" s="9"/>
      <c r="Z230" s="9"/>
    </row>
    <row r="231" spans="1:26" ht="14.4" x14ac:dyDescent="0.3">
      <c r="A231" s="69">
        <v>221</v>
      </c>
      <c r="B231" s="70" t="s">
        <v>495</v>
      </c>
      <c r="C231" s="70">
        <v>1</v>
      </c>
      <c r="D231" s="70">
        <v>4</v>
      </c>
      <c r="E231" s="70">
        <v>10</v>
      </c>
      <c r="F231" s="70" t="s">
        <v>496</v>
      </c>
      <c r="G231" s="71">
        <v>61.4</v>
      </c>
      <c r="H231" s="65">
        <f t="array" ref="H231">INDEX(Settings!$B$3:$B$7, D231)</f>
        <v>7000000</v>
      </c>
      <c r="I231" s="72">
        <f t="shared" si="67"/>
        <v>429800000</v>
      </c>
      <c r="J231" s="65">
        <f>I231*Settings!$B$2</f>
        <v>85960000</v>
      </c>
      <c r="K231" s="65">
        <f t="shared" si="64"/>
        <v>343840000</v>
      </c>
      <c r="L231" s="36" t="s">
        <v>291</v>
      </c>
      <c r="M231" s="73"/>
      <c r="N231" s="74"/>
      <c r="O231" s="74"/>
      <c r="P231" s="74"/>
      <c r="Q231" s="75"/>
      <c r="R231" s="74"/>
      <c r="S231" s="74"/>
      <c r="T231" s="75"/>
      <c r="U231" s="76"/>
      <c r="V231" s="53"/>
      <c r="W231" s="10"/>
      <c r="Y231" s="9"/>
      <c r="Z231" s="9"/>
    </row>
    <row r="232" spans="1:26" ht="14.4" x14ac:dyDescent="0.3">
      <c r="A232" s="77">
        <v>222</v>
      </c>
      <c r="B232" s="77" t="s">
        <v>497</v>
      </c>
      <c r="C232" s="77">
        <v>1</v>
      </c>
      <c r="D232" s="77">
        <v>4</v>
      </c>
      <c r="E232" s="77">
        <v>11</v>
      </c>
      <c r="F232" s="77" t="s">
        <v>29</v>
      </c>
      <c r="G232" s="78">
        <v>32.979999999999997</v>
      </c>
      <c r="H232" s="65">
        <f t="array" ref="H232">INDEX(Settings!$B$3:$B$7, D232)</f>
        <v>7000000</v>
      </c>
      <c r="I232" s="65">
        <f t="shared" si="67"/>
        <v>230859999.99999997</v>
      </c>
      <c r="J232" s="65">
        <f>I232*Settings!$B$2</f>
        <v>46172000</v>
      </c>
      <c r="K232" s="65">
        <f t="shared" si="64"/>
        <v>184687999.99999997</v>
      </c>
      <c r="L232" s="36" t="s">
        <v>291</v>
      </c>
      <c r="M232" s="66"/>
      <c r="N232" s="66"/>
      <c r="O232" s="66"/>
      <c r="P232" s="66"/>
      <c r="Q232" s="79"/>
      <c r="R232" s="68"/>
      <c r="S232" s="68"/>
      <c r="T232" s="79"/>
      <c r="U232" s="77"/>
      <c r="V232" s="54"/>
      <c r="Y232" s="9"/>
      <c r="Z232" s="9"/>
    </row>
    <row r="233" spans="1:26" ht="14.4" x14ac:dyDescent="0.3">
      <c r="A233" s="69">
        <v>223</v>
      </c>
      <c r="B233" s="70" t="s">
        <v>497</v>
      </c>
      <c r="C233" s="70">
        <v>1</v>
      </c>
      <c r="D233" s="70">
        <v>4</v>
      </c>
      <c r="E233" s="70">
        <v>12</v>
      </c>
      <c r="F233" s="70" t="s">
        <v>26</v>
      </c>
      <c r="G233" s="71">
        <v>48.72</v>
      </c>
      <c r="H233" s="65">
        <f t="array" ref="H233">INDEX(Settings!$B$3:$B$7, D233)</f>
        <v>7000000</v>
      </c>
      <c r="I233" s="72">
        <f t="shared" si="67"/>
        <v>341040000</v>
      </c>
      <c r="J233" s="65">
        <f>I233*Settings!$B$2</f>
        <v>68208000</v>
      </c>
      <c r="K233" s="65">
        <f t="shared" si="64"/>
        <v>272832000</v>
      </c>
      <c r="L233" s="36" t="s">
        <v>291</v>
      </c>
      <c r="M233" s="73"/>
      <c r="N233" s="74"/>
      <c r="O233" s="74"/>
      <c r="P233" s="74"/>
      <c r="Q233" s="75"/>
      <c r="R233" s="74"/>
      <c r="S233" s="74"/>
      <c r="T233" s="75"/>
      <c r="U233" s="76"/>
      <c r="V233" s="53"/>
      <c r="W233" s="10"/>
      <c r="Y233" s="9"/>
      <c r="Z233" s="9"/>
    </row>
    <row r="234" spans="1:26" ht="14.4" x14ac:dyDescent="0.3">
      <c r="A234" s="77">
        <v>221</v>
      </c>
      <c r="B234" s="77" t="s">
        <v>495</v>
      </c>
      <c r="C234" s="77">
        <v>1</v>
      </c>
      <c r="D234" s="77">
        <v>5</v>
      </c>
      <c r="E234" s="77">
        <v>13</v>
      </c>
      <c r="F234" s="77" t="s">
        <v>496</v>
      </c>
      <c r="G234" s="78">
        <v>61.4</v>
      </c>
      <c r="H234" s="65">
        <f t="array" ref="H234">INDEX(Settings!$B$3:$B$7, D234)</f>
        <v>6700000</v>
      </c>
      <c r="I234" s="65">
        <f t="shared" si="67"/>
        <v>411380000</v>
      </c>
      <c r="J234" s="65">
        <f>I234*Settings!$B$2</f>
        <v>82276000</v>
      </c>
      <c r="K234" s="65">
        <f t="shared" si="64"/>
        <v>329104000</v>
      </c>
      <c r="L234" s="36" t="s">
        <v>291</v>
      </c>
      <c r="M234" s="66"/>
      <c r="N234" s="66"/>
      <c r="O234" s="66"/>
      <c r="P234" s="66"/>
      <c r="Q234" s="79"/>
      <c r="R234" s="68"/>
      <c r="S234" s="68"/>
      <c r="T234" s="79"/>
      <c r="U234" s="77"/>
      <c r="V234" s="54"/>
      <c r="Y234" s="9"/>
      <c r="Z234" s="9"/>
    </row>
    <row r="235" spans="1:26" ht="14.4" x14ac:dyDescent="0.3">
      <c r="A235" s="69">
        <v>222</v>
      </c>
      <c r="B235" s="70" t="s">
        <v>497</v>
      </c>
      <c r="C235" s="70">
        <v>1</v>
      </c>
      <c r="D235" s="70">
        <v>5</v>
      </c>
      <c r="E235" s="70">
        <v>14</v>
      </c>
      <c r="F235" s="70" t="s">
        <v>29</v>
      </c>
      <c r="G235" s="71">
        <v>32.979999999999997</v>
      </c>
      <c r="H235" s="65">
        <f t="array" ref="H235">INDEX(Settings!$B$3:$B$7, D235)</f>
        <v>6700000</v>
      </c>
      <c r="I235" s="72">
        <f t="shared" si="67"/>
        <v>220965999.99999997</v>
      </c>
      <c r="J235" s="65">
        <f>I235*Settings!$B$2</f>
        <v>44193200</v>
      </c>
      <c r="K235" s="65">
        <f t="shared" si="64"/>
        <v>176772799.99999997</v>
      </c>
      <c r="L235" s="36" t="s">
        <v>291</v>
      </c>
      <c r="M235" s="73"/>
      <c r="N235" s="74"/>
      <c r="O235" s="74"/>
      <c r="P235" s="74"/>
      <c r="Q235" s="75"/>
      <c r="R235" s="74"/>
      <c r="S235" s="74"/>
      <c r="T235" s="75"/>
      <c r="U235" s="76"/>
      <c r="V235" s="53"/>
      <c r="W235" s="10"/>
      <c r="Y235" s="9"/>
      <c r="Z235" s="9"/>
    </row>
    <row r="236" spans="1:26" ht="14.4" x14ac:dyDescent="0.3">
      <c r="A236" s="69">
        <v>223</v>
      </c>
      <c r="B236" s="70" t="s">
        <v>497</v>
      </c>
      <c r="C236" s="70">
        <v>1</v>
      </c>
      <c r="D236" s="70">
        <v>5</v>
      </c>
      <c r="E236" s="70">
        <v>15</v>
      </c>
      <c r="F236" s="70" t="s">
        <v>26</v>
      </c>
      <c r="G236" s="71">
        <v>48.72</v>
      </c>
      <c r="H236" s="65">
        <f t="array" ref="H236">INDEX(Settings!$B$3:$B$7, D236)</f>
        <v>6700000</v>
      </c>
      <c r="I236" s="65">
        <f t="shared" si="67"/>
        <v>326424000</v>
      </c>
      <c r="J236" s="65">
        <f>I236*Settings!$B$2</f>
        <v>65284800</v>
      </c>
      <c r="K236" s="65">
        <f t="shared" si="64"/>
        <v>261139200</v>
      </c>
      <c r="L236" s="36" t="s">
        <v>291</v>
      </c>
      <c r="M236" s="73"/>
      <c r="N236" s="74"/>
      <c r="O236" s="74"/>
      <c r="P236" s="74"/>
      <c r="Q236" s="75"/>
      <c r="R236" s="74"/>
      <c r="S236" s="74"/>
      <c r="T236" s="75"/>
      <c r="U236" s="76"/>
      <c r="V236" s="53"/>
      <c r="W236" s="10"/>
      <c r="Y236" s="9"/>
      <c r="Z236" s="9"/>
    </row>
    <row r="237" spans="1:26" ht="14.4" x14ac:dyDescent="0.25">
      <c r="A237" s="77">
        <v>221</v>
      </c>
      <c r="B237" s="77" t="s">
        <v>495</v>
      </c>
      <c r="C237" s="77">
        <v>2</v>
      </c>
      <c r="D237" s="77">
        <v>1</v>
      </c>
      <c r="E237" s="77">
        <v>16</v>
      </c>
      <c r="F237" s="77" t="s">
        <v>496</v>
      </c>
      <c r="G237" s="78">
        <v>61.4</v>
      </c>
      <c r="H237" s="65">
        <f t="array" ref="H237">INDEX(Settings!$B$3:$B$7, D237)</f>
        <v>7700000</v>
      </c>
      <c r="I237" s="72">
        <f t="shared" si="67"/>
        <v>472780000</v>
      </c>
      <c r="J237" s="65">
        <f>I237*Settings!$B$2</f>
        <v>94556000</v>
      </c>
      <c r="K237" s="65">
        <f t="shared" si="64"/>
        <v>378224000</v>
      </c>
      <c r="L237" s="36" t="s">
        <v>291</v>
      </c>
      <c r="M237" s="66"/>
      <c r="N237" s="66"/>
      <c r="O237" s="66"/>
      <c r="P237" s="66"/>
      <c r="Q237" s="79"/>
      <c r="R237" s="68"/>
      <c r="S237" s="68"/>
      <c r="T237" s="79"/>
      <c r="U237" s="77"/>
    </row>
    <row r="238" spans="1:26" ht="14.4" x14ac:dyDescent="0.25">
      <c r="A238" s="69">
        <v>222</v>
      </c>
      <c r="B238" s="70" t="s">
        <v>497</v>
      </c>
      <c r="C238" s="70">
        <v>2</v>
      </c>
      <c r="D238" s="70">
        <v>1</v>
      </c>
      <c r="E238" s="70">
        <v>17</v>
      </c>
      <c r="F238" s="70" t="s">
        <v>29</v>
      </c>
      <c r="G238" s="71">
        <v>32.979999999999997</v>
      </c>
      <c r="H238" s="65">
        <f t="array" ref="H238">INDEX(Settings!$B$3:$B$7, D238)</f>
        <v>7700000</v>
      </c>
      <c r="I238" s="65">
        <f t="shared" si="67"/>
        <v>253945999.99999997</v>
      </c>
      <c r="J238" s="65">
        <f>I238*Settings!$B$2</f>
        <v>50789200</v>
      </c>
      <c r="K238" s="65">
        <f t="shared" si="64"/>
        <v>203156799.99999997</v>
      </c>
      <c r="L238" s="36" t="s">
        <v>291</v>
      </c>
      <c r="M238" s="73"/>
      <c r="N238" s="74"/>
      <c r="O238" s="74"/>
      <c r="P238" s="74"/>
      <c r="Q238" s="75"/>
      <c r="R238" s="74"/>
      <c r="S238" s="74"/>
      <c r="T238" s="75"/>
      <c r="U238" s="76"/>
    </row>
    <row r="239" spans="1:26" ht="14.4" x14ac:dyDescent="0.25">
      <c r="A239" s="77">
        <v>223</v>
      </c>
      <c r="B239" s="77" t="s">
        <v>497</v>
      </c>
      <c r="C239" s="70">
        <v>2</v>
      </c>
      <c r="D239" s="77">
        <v>1</v>
      </c>
      <c r="E239" s="77">
        <v>18</v>
      </c>
      <c r="F239" s="77" t="s">
        <v>26</v>
      </c>
      <c r="G239" s="78">
        <v>48.72</v>
      </c>
      <c r="H239" s="65">
        <f t="array" ref="H239">INDEX(Settings!$B$3:$B$7, D239)</f>
        <v>7700000</v>
      </c>
      <c r="I239" s="72">
        <f t="shared" si="67"/>
        <v>375144000</v>
      </c>
      <c r="J239" s="65">
        <f>I239*Settings!$B$2</f>
        <v>75028800</v>
      </c>
      <c r="K239" s="65">
        <f t="shared" si="64"/>
        <v>300115200</v>
      </c>
      <c r="L239" s="36" t="s">
        <v>291</v>
      </c>
      <c r="M239" s="66"/>
      <c r="N239" s="66"/>
      <c r="O239" s="66"/>
      <c r="P239" s="66"/>
      <c r="Q239" s="79"/>
      <c r="R239" s="68"/>
      <c r="S239" s="68"/>
      <c r="T239" s="79"/>
      <c r="U239" s="77"/>
    </row>
    <row r="240" spans="1:26" ht="14.4" x14ac:dyDescent="0.25">
      <c r="A240" s="69">
        <v>221</v>
      </c>
      <c r="B240" s="70" t="s">
        <v>495</v>
      </c>
      <c r="C240" s="70">
        <v>2</v>
      </c>
      <c r="D240" s="70">
        <v>2</v>
      </c>
      <c r="E240" s="70">
        <v>19</v>
      </c>
      <c r="F240" s="70" t="s">
        <v>496</v>
      </c>
      <c r="G240" s="71">
        <v>61.4</v>
      </c>
      <c r="H240" s="65">
        <f t="array" ref="H240">INDEX(Settings!$B$3:$B$7, D240)</f>
        <v>7800000</v>
      </c>
      <c r="I240" s="65">
        <f t="shared" si="67"/>
        <v>478920000</v>
      </c>
      <c r="J240" s="65">
        <f>I240*Settings!$B$2</f>
        <v>95784000</v>
      </c>
      <c r="K240" s="65">
        <f t="shared" si="64"/>
        <v>383136000</v>
      </c>
      <c r="L240" s="36" t="s">
        <v>291</v>
      </c>
      <c r="M240" s="73"/>
      <c r="N240" s="74"/>
      <c r="O240" s="74"/>
      <c r="P240" s="74"/>
      <c r="Q240" s="75"/>
      <c r="R240" s="74"/>
      <c r="S240" s="74"/>
      <c r="T240" s="75"/>
      <c r="U240" s="76"/>
    </row>
    <row r="241" spans="1:21" ht="14.4" x14ac:dyDescent="0.25">
      <c r="A241" s="77">
        <v>222</v>
      </c>
      <c r="B241" s="77" t="s">
        <v>497</v>
      </c>
      <c r="C241" s="70">
        <v>2</v>
      </c>
      <c r="D241" s="77">
        <v>2</v>
      </c>
      <c r="E241" s="77">
        <v>20</v>
      </c>
      <c r="F241" s="77" t="s">
        <v>29</v>
      </c>
      <c r="G241" s="78">
        <v>32.979999999999997</v>
      </c>
      <c r="H241" s="65">
        <f t="array" ref="H241">INDEX(Settings!$B$3:$B$7, D241)</f>
        <v>7800000</v>
      </c>
      <c r="I241" s="72">
        <f t="shared" si="67"/>
        <v>257243999.99999997</v>
      </c>
      <c r="J241" s="65">
        <f>I241*Settings!$B$2</f>
        <v>51448800</v>
      </c>
      <c r="K241" s="65">
        <f t="shared" si="64"/>
        <v>205795199.99999997</v>
      </c>
      <c r="L241" s="36" t="s">
        <v>291</v>
      </c>
      <c r="M241" s="66"/>
      <c r="N241" s="66"/>
      <c r="O241" s="66"/>
      <c r="P241" s="66"/>
      <c r="Q241" s="79"/>
      <c r="R241" s="68"/>
      <c r="S241" s="68"/>
      <c r="T241" s="79"/>
      <c r="U241" s="77"/>
    </row>
    <row r="242" spans="1:21" ht="14.4" x14ac:dyDescent="0.25">
      <c r="A242" s="69">
        <v>223</v>
      </c>
      <c r="B242" s="70" t="s">
        <v>497</v>
      </c>
      <c r="C242" s="70">
        <v>2</v>
      </c>
      <c r="D242" s="70">
        <v>2</v>
      </c>
      <c r="E242" s="70">
        <v>21</v>
      </c>
      <c r="F242" s="70" t="s">
        <v>26</v>
      </c>
      <c r="G242" s="71">
        <v>48.72</v>
      </c>
      <c r="H242" s="65">
        <f t="array" ref="H242">INDEX(Settings!$B$3:$B$7, D242)</f>
        <v>7800000</v>
      </c>
      <c r="I242" s="65">
        <f t="shared" si="67"/>
        <v>380016000</v>
      </c>
      <c r="J242" s="65">
        <f>I242*Settings!$B$2</f>
        <v>76003200</v>
      </c>
      <c r="K242" s="65">
        <f t="shared" si="64"/>
        <v>304012800</v>
      </c>
      <c r="L242" s="36" t="s">
        <v>291</v>
      </c>
      <c r="M242" s="73"/>
      <c r="N242" s="74"/>
      <c r="O242" s="74"/>
      <c r="P242" s="74"/>
      <c r="Q242" s="75"/>
      <c r="R242" s="74"/>
      <c r="S242" s="74"/>
      <c r="T242" s="75"/>
      <c r="U242" s="76"/>
    </row>
    <row r="243" spans="1:21" ht="14.4" x14ac:dyDescent="0.25">
      <c r="A243" s="77">
        <v>221</v>
      </c>
      <c r="B243" s="77" t="s">
        <v>495</v>
      </c>
      <c r="C243" s="70">
        <v>2</v>
      </c>
      <c r="D243" s="77">
        <v>3</v>
      </c>
      <c r="E243" s="77">
        <v>22</v>
      </c>
      <c r="F243" s="77" t="s">
        <v>496</v>
      </c>
      <c r="G243" s="78">
        <v>61.4</v>
      </c>
      <c r="H243" s="65">
        <f t="array" ref="H243">INDEX(Settings!$B$3:$B$7, D243)</f>
        <v>7300000</v>
      </c>
      <c r="I243" s="72">
        <f t="shared" si="67"/>
        <v>448220000</v>
      </c>
      <c r="J243" s="65">
        <f>I243*Settings!$B$2</f>
        <v>89644000</v>
      </c>
      <c r="K243" s="65">
        <f t="shared" si="64"/>
        <v>358576000</v>
      </c>
      <c r="L243" s="36" t="s">
        <v>291</v>
      </c>
      <c r="M243" s="66"/>
      <c r="N243" s="66"/>
      <c r="O243" s="66"/>
      <c r="P243" s="66"/>
      <c r="Q243" s="79"/>
      <c r="R243" s="68"/>
      <c r="S243" s="68"/>
      <c r="T243" s="79"/>
      <c r="U243" s="77"/>
    </row>
    <row r="244" spans="1:21" ht="14.4" x14ac:dyDescent="0.25">
      <c r="A244" s="69">
        <v>222</v>
      </c>
      <c r="B244" s="70" t="s">
        <v>497</v>
      </c>
      <c r="C244" s="70">
        <v>2</v>
      </c>
      <c r="D244" s="70">
        <v>3</v>
      </c>
      <c r="E244" s="70">
        <v>23</v>
      </c>
      <c r="F244" s="70" t="s">
        <v>29</v>
      </c>
      <c r="G244" s="71">
        <v>32.979999999999997</v>
      </c>
      <c r="H244" s="65">
        <f t="array" ref="H244">INDEX(Settings!$B$3:$B$7, D244)</f>
        <v>7300000</v>
      </c>
      <c r="I244" s="65">
        <f t="shared" si="67"/>
        <v>240753999.99999997</v>
      </c>
      <c r="J244" s="65">
        <f>I244*Settings!$B$2</f>
        <v>48150800</v>
      </c>
      <c r="K244" s="65">
        <f t="shared" si="64"/>
        <v>192603199.99999997</v>
      </c>
      <c r="L244" s="36" t="s">
        <v>291</v>
      </c>
      <c r="M244" s="73"/>
      <c r="N244" s="74"/>
      <c r="O244" s="74"/>
      <c r="P244" s="74"/>
      <c r="Q244" s="75"/>
      <c r="R244" s="74"/>
      <c r="S244" s="74"/>
      <c r="T244" s="75"/>
      <c r="U244" s="76"/>
    </row>
    <row r="245" spans="1:21" ht="14.4" x14ac:dyDescent="0.25">
      <c r="A245" s="77">
        <v>223</v>
      </c>
      <c r="B245" s="77" t="s">
        <v>497</v>
      </c>
      <c r="C245" s="70">
        <v>2</v>
      </c>
      <c r="D245" s="77">
        <v>3</v>
      </c>
      <c r="E245" s="77">
        <v>24</v>
      </c>
      <c r="F245" s="77" t="s">
        <v>26</v>
      </c>
      <c r="G245" s="78">
        <v>48.72</v>
      </c>
      <c r="H245" s="65">
        <f t="array" ref="H245">INDEX(Settings!$B$3:$B$7, D245)</f>
        <v>7300000</v>
      </c>
      <c r="I245" s="72">
        <f t="shared" si="67"/>
        <v>355656000</v>
      </c>
      <c r="J245" s="65">
        <f>I245*Settings!$B$2</f>
        <v>71131200</v>
      </c>
      <c r="K245" s="65">
        <f t="shared" si="64"/>
        <v>284524800</v>
      </c>
      <c r="L245" s="36" t="s">
        <v>291</v>
      </c>
      <c r="M245" s="66"/>
      <c r="N245" s="66"/>
      <c r="O245" s="66"/>
      <c r="P245" s="66"/>
      <c r="Q245" s="79"/>
      <c r="R245" s="68"/>
      <c r="S245" s="68"/>
      <c r="T245" s="79"/>
      <c r="U245" s="77"/>
    </row>
    <row r="246" spans="1:21" ht="14.4" x14ac:dyDescent="0.25">
      <c r="A246" s="69">
        <v>221</v>
      </c>
      <c r="B246" s="70" t="s">
        <v>495</v>
      </c>
      <c r="C246" s="70">
        <v>2</v>
      </c>
      <c r="D246" s="70">
        <v>4</v>
      </c>
      <c r="E246" s="70">
        <v>25</v>
      </c>
      <c r="F246" s="70" t="s">
        <v>496</v>
      </c>
      <c r="G246" s="71">
        <v>61.4</v>
      </c>
      <c r="H246" s="65">
        <f t="array" ref="H246">INDEX(Settings!$B$3:$B$7, D246)</f>
        <v>7000000</v>
      </c>
      <c r="I246" s="65">
        <f t="shared" si="67"/>
        <v>429800000</v>
      </c>
      <c r="J246" s="65">
        <f>I246*Settings!$B$2</f>
        <v>85960000</v>
      </c>
      <c r="K246" s="65">
        <f t="shared" si="64"/>
        <v>343840000</v>
      </c>
      <c r="L246" s="36" t="s">
        <v>291</v>
      </c>
      <c r="M246" s="73"/>
      <c r="N246" s="74"/>
      <c r="O246" s="74"/>
      <c r="P246" s="74"/>
      <c r="Q246" s="75"/>
      <c r="R246" s="74"/>
      <c r="S246" s="74"/>
      <c r="T246" s="75"/>
      <c r="U246" s="76"/>
    </row>
    <row r="247" spans="1:21" ht="14.4" x14ac:dyDescent="0.25">
      <c r="A247" s="77">
        <v>222</v>
      </c>
      <c r="B247" s="77" t="s">
        <v>497</v>
      </c>
      <c r="C247" s="70">
        <v>2</v>
      </c>
      <c r="D247" s="77">
        <v>4</v>
      </c>
      <c r="E247" s="77">
        <v>26</v>
      </c>
      <c r="F247" s="77" t="s">
        <v>29</v>
      </c>
      <c r="G247" s="78">
        <v>32.979999999999997</v>
      </c>
      <c r="H247" s="65">
        <f t="array" ref="H247">INDEX(Settings!$B$3:$B$7, D247)</f>
        <v>7000000</v>
      </c>
      <c r="I247" s="72">
        <f t="shared" si="67"/>
        <v>230859999.99999997</v>
      </c>
      <c r="J247" s="65">
        <f>I247*Settings!$B$2</f>
        <v>46172000</v>
      </c>
      <c r="K247" s="65">
        <f t="shared" si="64"/>
        <v>184687999.99999997</v>
      </c>
      <c r="L247" s="36" t="s">
        <v>291</v>
      </c>
      <c r="M247" s="66"/>
      <c r="N247" s="66"/>
      <c r="O247" s="66"/>
      <c r="P247" s="66"/>
      <c r="Q247" s="79"/>
      <c r="R247" s="68"/>
      <c r="S247" s="68"/>
      <c r="T247" s="79"/>
      <c r="U247" s="77"/>
    </row>
    <row r="248" spans="1:21" ht="14.4" x14ac:dyDescent="0.25">
      <c r="A248" s="69">
        <v>223</v>
      </c>
      <c r="B248" s="70" t="s">
        <v>497</v>
      </c>
      <c r="C248" s="70">
        <v>2</v>
      </c>
      <c r="D248" s="70">
        <v>4</v>
      </c>
      <c r="E248" s="70">
        <v>27</v>
      </c>
      <c r="F248" s="70" t="s">
        <v>26</v>
      </c>
      <c r="G248" s="71">
        <v>48.72</v>
      </c>
      <c r="H248" s="65">
        <f t="array" ref="H248">INDEX(Settings!$B$3:$B$7, D248)</f>
        <v>7000000</v>
      </c>
      <c r="I248" s="65">
        <f t="shared" si="67"/>
        <v>341040000</v>
      </c>
      <c r="J248" s="65">
        <f>I248*Settings!$B$2</f>
        <v>68208000</v>
      </c>
      <c r="K248" s="65">
        <f t="shared" si="64"/>
        <v>272832000</v>
      </c>
      <c r="L248" s="36" t="s">
        <v>291</v>
      </c>
      <c r="M248" s="73"/>
      <c r="N248" s="74"/>
      <c r="O248" s="74"/>
      <c r="P248" s="74"/>
      <c r="Q248" s="75"/>
      <c r="R248" s="74"/>
      <c r="S248" s="74"/>
      <c r="T248" s="75"/>
      <c r="U248" s="76"/>
    </row>
    <row r="249" spans="1:21" ht="14.4" x14ac:dyDescent="0.25">
      <c r="A249" s="77">
        <v>221</v>
      </c>
      <c r="B249" s="77" t="s">
        <v>495</v>
      </c>
      <c r="C249" s="70">
        <v>2</v>
      </c>
      <c r="D249" s="77">
        <v>5</v>
      </c>
      <c r="E249" s="77">
        <v>28</v>
      </c>
      <c r="F249" s="77" t="s">
        <v>496</v>
      </c>
      <c r="G249" s="78">
        <v>61.4</v>
      </c>
      <c r="H249" s="65">
        <f t="array" ref="H249">INDEX(Settings!$B$3:$B$7, D249)</f>
        <v>6700000</v>
      </c>
      <c r="I249" s="72">
        <f t="shared" si="67"/>
        <v>411380000</v>
      </c>
      <c r="J249" s="65">
        <f>I249*Settings!$B$2</f>
        <v>82276000</v>
      </c>
      <c r="K249" s="65">
        <f t="shared" si="64"/>
        <v>329104000</v>
      </c>
      <c r="L249" s="36" t="s">
        <v>291</v>
      </c>
      <c r="M249" s="66"/>
      <c r="N249" s="66"/>
      <c r="O249" s="66"/>
      <c r="P249" s="66"/>
      <c r="Q249" s="79"/>
      <c r="R249" s="68"/>
      <c r="S249" s="68"/>
      <c r="T249" s="79"/>
      <c r="U249" s="77"/>
    </row>
    <row r="250" spans="1:21" ht="14.4" x14ac:dyDescent="0.25">
      <c r="A250" s="69">
        <v>222</v>
      </c>
      <c r="B250" s="70" t="s">
        <v>497</v>
      </c>
      <c r="C250" s="70">
        <v>2</v>
      </c>
      <c r="D250" s="70">
        <v>5</v>
      </c>
      <c r="E250" s="70">
        <v>29</v>
      </c>
      <c r="F250" s="70" t="s">
        <v>29</v>
      </c>
      <c r="G250" s="71">
        <v>32.979999999999997</v>
      </c>
      <c r="H250" s="65">
        <f t="array" ref="H250">INDEX(Settings!$B$3:$B$7, D250)</f>
        <v>6700000</v>
      </c>
      <c r="I250" s="65">
        <f t="shared" si="67"/>
        <v>220965999.99999997</v>
      </c>
      <c r="J250" s="65">
        <f>I250*Settings!$B$2</f>
        <v>44193200</v>
      </c>
      <c r="K250" s="65">
        <f t="shared" si="64"/>
        <v>176772799.99999997</v>
      </c>
      <c r="L250" s="36" t="s">
        <v>291</v>
      </c>
      <c r="M250" s="73"/>
      <c r="N250" s="74"/>
      <c r="O250" s="74"/>
      <c r="P250" s="74"/>
      <c r="Q250" s="75"/>
      <c r="R250" s="74"/>
      <c r="S250" s="74"/>
      <c r="T250" s="75"/>
      <c r="U250" s="76"/>
    </row>
    <row r="251" spans="1:21" ht="14.4" x14ac:dyDescent="0.25">
      <c r="A251" s="69">
        <v>223</v>
      </c>
      <c r="B251" s="70" t="s">
        <v>497</v>
      </c>
      <c r="C251" s="70">
        <v>2</v>
      </c>
      <c r="D251" s="70">
        <v>5</v>
      </c>
      <c r="E251" s="70">
        <v>30</v>
      </c>
      <c r="F251" s="70" t="s">
        <v>26</v>
      </c>
      <c r="G251" s="71">
        <v>48.72</v>
      </c>
      <c r="H251" s="65">
        <f t="array" ref="H251">INDEX(Settings!$B$3:$B$7, D251)</f>
        <v>6700000</v>
      </c>
      <c r="I251" s="72">
        <f t="shared" si="67"/>
        <v>326424000</v>
      </c>
      <c r="J251" s="65">
        <f>I251*Settings!$B$2</f>
        <v>65284800</v>
      </c>
      <c r="K251" s="65">
        <f t="shared" si="64"/>
        <v>261139200</v>
      </c>
      <c r="L251" s="36" t="s">
        <v>291</v>
      </c>
      <c r="M251" s="73"/>
      <c r="N251" s="74"/>
      <c r="O251" s="74"/>
      <c r="P251" s="74"/>
      <c r="Q251" s="75"/>
      <c r="R251" s="74"/>
      <c r="S251" s="74"/>
      <c r="T251" s="75"/>
      <c r="U251" s="76"/>
    </row>
    <row r="252" spans="1:21" ht="14.4" x14ac:dyDescent="0.25">
      <c r="A252" s="77">
        <v>221</v>
      </c>
      <c r="B252" s="77" t="s">
        <v>495</v>
      </c>
      <c r="C252" s="70">
        <v>3</v>
      </c>
      <c r="D252" s="77">
        <v>1</v>
      </c>
      <c r="E252" s="77">
        <v>31</v>
      </c>
      <c r="F252" s="70" t="s">
        <v>26</v>
      </c>
      <c r="G252" s="78">
        <v>48.6</v>
      </c>
      <c r="H252" s="65">
        <f t="array" ref="H252">INDEX(Settings!$B$3:$B$7, D252)</f>
        <v>7700000</v>
      </c>
      <c r="I252" s="65">
        <f t="shared" si="67"/>
        <v>374220000</v>
      </c>
      <c r="J252" s="65">
        <f>I252*Settings!$B$2</f>
        <v>74844000</v>
      </c>
      <c r="K252" s="65">
        <f t="shared" si="64"/>
        <v>299376000</v>
      </c>
      <c r="L252" s="36" t="s">
        <v>291</v>
      </c>
      <c r="M252" s="66"/>
      <c r="N252" s="66"/>
      <c r="O252" s="66"/>
      <c r="P252" s="66"/>
      <c r="Q252" s="79"/>
      <c r="R252" s="68"/>
      <c r="S252" s="68"/>
      <c r="T252" s="79"/>
      <c r="U252" s="77"/>
    </row>
    <row r="253" spans="1:21" ht="14.4" x14ac:dyDescent="0.25">
      <c r="A253" s="69">
        <v>222</v>
      </c>
      <c r="B253" s="70" t="s">
        <v>497</v>
      </c>
      <c r="C253" s="70">
        <v>3</v>
      </c>
      <c r="D253" s="70">
        <v>1</v>
      </c>
      <c r="E253" s="70">
        <v>32</v>
      </c>
      <c r="F253" s="70" t="s">
        <v>26</v>
      </c>
      <c r="G253" s="71">
        <v>45.72</v>
      </c>
      <c r="H253" s="65">
        <f t="array" ref="H253">INDEX(Settings!$B$3:$B$7, D253)</f>
        <v>7700000</v>
      </c>
      <c r="I253" s="72">
        <f t="shared" si="67"/>
        <v>352044000</v>
      </c>
      <c r="J253" s="65">
        <f>I253*Settings!$B$2</f>
        <v>70408800</v>
      </c>
      <c r="K253" s="65">
        <f t="shared" si="64"/>
        <v>281635200</v>
      </c>
      <c r="L253" s="36" t="s">
        <v>291</v>
      </c>
      <c r="M253" s="73"/>
      <c r="N253" s="74"/>
      <c r="O253" s="74"/>
      <c r="P253" s="74"/>
      <c r="Q253" s="75"/>
      <c r="R253" s="74"/>
      <c r="S253" s="74"/>
      <c r="T253" s="75"/>
      <c r="U253" s="76"/>
    </row>
    <row r="254" spans="1:21" ht="14.4" x14ac:dyDescent="0.25">
      <c r="A254" s="69">
        <v>223</v>
      </c>
      <c r="B254" s="70" t="s">
        <v>497</v>
      </c>
      <c r="C254" s="70">
        <v>3</v>
      </c>
      <c r="D254" s="70">
        <v>1</v>
      </c>
      <c r="E254" s="70">
        <v>33</v>
      </c>
      <c r="F254" s="70" t="s">
        <v>26</v>
      </c>
      <c r="G254" s="71">
        <v>48.6</v>
      </c>
      <c r="H254" s="65">
        <f t="array" ref="H254">INDEX(Settings!$B$3:$B$7, D254)</f>
        <v>7700000</v>
      </c>
      <c r="I254" s="65">
        <f t="shared" si="67"/>
        <v>374220000</v>
      </c>
      <c r="J254" s="65">
        <f>I254*Settings!$B$2</f>
        <v>74844000</v>
      </c>
      <c r="K254" s="65">
        <f t="shared" si="64"/>
        <v>299376000</v>
      </c>
      <c r="L254" s="36" t="s">
        <v>291</v>
      </c>
      <c r="M254" s="73"/>
      <c r="N254" s="74"/>
      <c r="O254" s="74"/>
      <c r="P254" s="74"/>
      <c r="Q254" s="75"/>
      <c r="R254" s="74"/>
      <c r="S254" s="74"/>
      <c r="T254" s="75"/>
      <c r="U254" s="76"/>
    </row>
    <row r="255" spans="1:21" ht="14.4" x14ac:dyDescent="0.25">
      <c r="A255" s="77">
        <v>221</v>
      </c>
      <c r="B255" s="77" t="s">
        <v>495</v>
      </c>
      <c r="C255" s="70">
        <v>3</v>
      </c>
      <c r="D255" s="77">
        <v>2</v>
      </c>
      <c r="E255" s="77">
        <v>34</v>
      </c>
      <c r="F255" s="70" t="s">
        <v>26</v>
      </c>
      <c r="G255" s="78">
        <v>48.6</v>
      </c>
      <c r="H255" s="65">
        <f t="array" ref="H255">INDEX(Settings!$B$3:$B$7, D255)</f>
        <v>7800000</v>
      </c>
      <c r="I255" s="65">
        <f t="shared" si="67"/>
        <v>379080000</v>
      </c>
      <c r="J255" s="65">
        <f>I255*Settings!$B$2</f>
        <v>75816000</v>
      </c>
      <c r="K255" s="65">
        <f t="shared" si="64"/>
        <v>303264000</v>
      </c>
      <c r="L255" s="36" t="s">
        <v>291</v>
      </c>
      <c r="M255" s="66"/>
      <c r="N255" s="66"/>
      <c r="O255" s="66"/>
      <c r="P255" s="66"/>
      <c r="Q255" s="79"/>
      <c r="R255" s="68"/>
      <c r="S255" s="68"/>
      <c r="T255" s="79"/>
      <c r="U255" s="77"/>
    </row>
    <row r="256" spans="1:21" ht="14.4" x14ac:dyDescent="0.25">
      <c r="A256" s="69">
        <v>222</v>
      </c>
      <c r="B256" s="70" t="s">
        <v>497</v>
      </c>
      <c r="C256" s="70">
        <v>3</v>
      </c>
      <c r="D256" s="70">
        <v>2</v>
      </c>
      <c r="E256" s="70">
        <v>35</v>
      </c>
      <c r="F256" s="70" t="s">
        <v>26</v>
      </c>
      <c r="G256" s="71">
        <v>45.72</v>
      </c>
      <c r="H256" s="65">
        <f t="array" ref="H256">INDEX(Settings!$B$3:$B$7, D256)</f>
        <v>7800000</v>
      </c>
      <c r="I256" s="72">
        <f t="shared" si="67"/>
        <v>356616000</v>
      </c>
      <c r="J256" s="65">
        <f>I256*Settings!$B$2</f>
        <v>71323200</v>
      </c>
      <c r="K256" s="65">
        <f t="shared" si="64"/>
        <v>285292800</v>
      </c>
      <c r="L256" s="36" t="s">
        <v>291</v>
      </c>
      <c r="M256" s="73"/>
      <c r="N256" s="74"/>
      <c r="O256" s="74"/>
      <c r="P256" s="74"/>
      <c r="Q256" s="75"/>
      <c r="R256" s="74"/>
      <c r="S256" s="74"/>
      <c r="T256" s="75"/>
      <c r="U256" s="76"/>
    </row>
    <row r="257" spans="1:21" ht="14.4" x14ac:dyDescent="0.25">
      <c r="A257" s="69">
        <v>223</v>
      </c>
      <c r="B257" s="70" t="s">
        <v>497</v>
      </c>
      <c r="C257" s="70">
        <v>3</v>
      </c>
      <c r="D257" s="70">
        <v>2</v>
      </c>
      <c r="E257" s="70">
        <v>36</v>
      </c>
      <c r="F257" s="70" t="s">
        <v>26</v>
      </c>
      <c r="G257" s="71">
        <v>48.6</v>
      </c>
      <c r="H257" s="65">
        <f t="array" ref="H257">INDEX(Settings!$B$3:$B$7, D257)</f>
        <v>7800000</v>
      </c>
      <c r="I257" s="65">
        <f t="shared" si="67"/>
        <v>379080000</v>
      </c>
      <c r="J257" s="65">
        <f>I257*Settings!$B$2</f>
        <v>75816000</v>
      </c>
      <c r="K257" s="65">
        <f t="shared" si="64"/>
        <v>303264000</v>
      </c>
      <c r="L257" s="36" t="s">
        <v>291</v>
      </c>
      <c r="M257" s="73"/>
      <c r="N257" s="74"/>
      <c r="O257" s="74"/>
      <c r="P257" s="74"/>
      <c r="Q257" s="75"/>
      <c r="R257" s="74"/>
      <c r="S257" s="74"/>
      <c r="T257" s="75"/>
      <c r="U257" s="76"/>
    </row>
    <row r="258" spans="1:21" ht="14.4" x14ac:dyDescent="0.25">
      <c r="A258" s="77">
        <v>221</v>
      </c>
      <c r="B258" s="77" t="s">
        <v>495</v>
      </c>
      <c r="C258" s="70">
        <v>3</v>
      </c>
      <c r="D258" s="77">
        <v>3</v>
      </c>
      <c r="E258" s="77">
        <v>37</v>
      </c>
      <c r="F258" s="70" t="s">
        <v>26</v>
      </c>
      <c r="G258" s="78">
        <v>48.6</v>
      </c>
      <c r="H258" s="65">
        <f t="array" ref="H258">INDEX(Settings!$B$3:$B$7, D258)</f>
        <v>7300000</v>
      </c>
      <c r="I258" s="65">
        <f t="shared" si="67"/>
        <v>354780000</v>
      </c>
      <c r="J258" s="65">
        <f>I258*Settings!$B$2</f>
        <v>70956000</v>
      </c>
      <c r="K258" s="65">
        <f t="shared" si="64"/>
        <v>283824000</v>
      </c>
      <c r="L258" s="36" t="s">
        <v>291</v>
      </c>
      <c r="M258" s="66"/>
      <c r="N258" s="66"/>
      <c r="O258" s="66"/>
      <c r="P258" s="66"/>
      <c r="Q258" s="79"/>
      <c r="R258" s="68"/>
      <c r="S258" s="68"/>
      <c r="T258" s="79"/>
      <c r="U258" s="77"/>
    </row>
    <row r="259" spans="1:21" ht="14.4" x14ac:dyDescent="0.25">
      <c r="A259" s="69">
        <v>222</v>
      </c>
      <c r="B259" s="70" t="s">
        <v>497</v>
      </c>
      <c r="C259" s="70">
        <v>3</v>
      </c>
      <c r="D259" s="70">
        <v>3</v>
      </c>
      <c r="E259" s="70">
        <v>38</v>
      </c>
      <c r="F259" s="70" t="s">
        <v>26</v>
      </c>
      <c r="G259" s="71">
        <v>45.72</v>
      </c>
      <c r="H259" s="65">
        <f t="array" ref="H259">INDEX(Settings!$B$3:$B$7, D259)</f>
        <v>7300000</v>
      </c>
      <c r="I259" s="72">
        <f t="shared" si="67"/>
        <v>333756000</v>
      </c>
      <c r="J259" s="65">
        <f>I259*Settings!$B$2</f>
        <v>66751200</v>
      </c>
      <c r="K259" s="65">
        <f t="shared" si="64"/>
        <v>267004800</v>
      </c>
      <c r="L259" s="36" t="s">
        <v>291</v>
      </c>
      <c r="M259" s="73"/>
      <c r="N259" s="74"/>
      <c r="O259" s="74"/>
      <c r="P259" s="74"/>
      <c r="Q259" s="75"/>
      <c r="R259" s="74"/>
      <c r="S259" s="74"/>
      <c r="T259" s="75"/>
      <c r="U259" s="76"/>
    </row>
    <row r="260" spans="1:21" ht="14.4" x14ac:dyDescent="0.25">
      <c r="A260" s="69">
        <v>223</v>
      </c>
      <c r="B260" s="70" t="s">
        <v>497</v>
      </c>
      <c r="C260" s="70">
        <v>3</v>
      </c>
      <c r="D260" s="70">
        <v>3</v>
      </c>
      <c r="E260" s="70">
        <v>39</v>
      </c>
      <c r="F260" s="70" t="s">
        <v>26</v>
      </c>
      <c r="G260" s="71">
        <v>48.6</v>
      </c>
      <c r="H260" s="65">
        <f t="array" ref="H260">INDEX(Settings!$B$3:$B$7, D260)</f>
        <v>7300000</v>
      </c>
      <c r="I260" s="65">
        <f t="shared" si="67"/>
        <v>354780000</v>
      </c>
      <c r="J260" s="65">
        <f>I260*Settings!$B$2</f>
        <v>70956000</v>
      </c>
      <c r="K260" s="65">
        <f t="shared" si="64"/>
        <v>283824000</v>
      </c>
      <c r="L260" s="36" t="s">
        <v>291</v>
      </c>
      <c r="M260" s="73"/>
      <c r="N260" s="74"/>
      <c r="O260" s="74"/>
      <c r="P260" s="74"/>
      <c r="Q260" s="75"/>
      <c r="R260" s="74"/>
      <c r="S260" s="74"/>
      <c r="T260" s="75"/>
      <c r="U260" s="76"/>
    </row>
    <row r="261" spans="1:21" ht="14.4" x14ac:dyDescent="0.25">
      <c r="A261" s="77">
        <v>221</v>
      </c>
      <c r="B261" s="77" t="s">
        <v>495</v>
      </c>
      <c r="C261" s="70">
        <v>3</v>
      </c>
      <c r="D261" s="77">
        <v>4</v>
      </c>
      <c r="E261" s="77">
        <v>40</v>
      </c>
      <c r="F261" s="70" t="s">
        <v>26</v>
      </c>
      <c r="G261" s="78">
        <v>48.6</v>
      </c>
      <c r="H261" s="65">
        <f t="array" ref="H261">INDEX(Settings!$B$3:$B$7, D261)</f>
        <v>7000000</v>
      </c>
      <c r="I261" s="65">
        <f t="shared" si="67"/>
        <v>340200000</v>
      </c>
      <c r="J261" s="65">
        <f>I261*Settings!$B$2</f>
        <v>68040000</v>
      </c>
      <c r="K261" s="65">
        <f t="shared" si="64"/>
        <v>272160000</v>
      </c>
      <c r="L261" s="36" t="s">
        <v>291</v>
      </c>
      <c r="M261" s="66"/>
      <c r="N261" s="66"/>
      <c r="O261" s="66"/>
      <c r="P261" s="66"/>
      <c r="Q261" s="79"/>
      <c r="R261" s="68"/>
      <c r="S261" s="68"/>
      <c r="T261" s="79"/>
      <c r="U261" s="77"/>
    </row>
    <row r="262" spans="1:21" ht="14.4" x14ac:dyDescent="0.25">
      <c r="A262" s="69">
        <v>222</v>
      </c>
      <c r="B262" s="70" t="s">
        <v>497</v>
      </c>
      <c r="C262" s="70">
        <v>3</v>
      </c>
      <c r="D262" s="70">
        <v>4</v>
      </c>
      <c r="E262" s="70">
        <v>41</v>
      </c>
      <c r="F262" s="70" t="s">
        <v>26</v>
      </c>
      <c r="G262" s="71">
        <v>45.72</v>
      </c>
      <c r="H262" s="65">
        <f t="array" ref="H262">INDEX(Settings!$B$3:$B$7, D262)</f>
        <v>7000000</v>
      </c>
      <c r="I262" s="72">
        <f t="shared" si="67"/>
        <v>320040000</v>
      </c>
      <c r="J262" s="65">
        <f>I262*Settings!$B$2</f>
        <v>64008000</v>
      </c>
      <c r="K262" s="65">
        <f t="shared" si="64"/>
        <v>256032000</v>
      </c>
      <c r="L262" s="36" t="s">
        <v>291</v>
      </c>
      <c r="M262" s="73"/>
      <c r="N262" s="74"/>
      <c r="O262" s="74"/>
      <c r="P262" s="74"/>
      <c r="Q262" s="75"/>
      <c r="R262" s="74"/>
      <c r="S262" s="74"/>
      <c r="T262" s="75"/>
      <c r="U262" s="76"/>
    </row>
    <row r="263" spans="1:21" ht="14.4" x14ac:dyDescent="0.25">
      <c r="A263" s="69">
        <v>223</v>
      </c>
      <c r="B263" s="70" t="s">
        <v>497</v>
      </c>
      <c r="C263" s="70">
        <v>3</v>
      </c>
      <c r="D263" s="70">
        <v>4</v>
      </c>
      <c r="E263" s="70">
        <v>42</v>
      </c>
      <c r="F263" s="70" t="s">
        <v>26</v>
      </c>
      <c r="G263" s="71">
        <v>48.6</v>
      </c>
      <c r="H263" s="65">
        <f t="array" ref="H263">INDEX(Settings!$B$3:$B$7, D263)</f>
        <v>7000000</v>
      </c>
      <c r="I263" s="65">
        <f t="shared" si="67"/>
        <v>340200000</v>
      </c>
      <c r="J263" s="65">
        <f>I263*Settings!$B$2</f>
        <v>68040000</v>
      </c>
      <c r="K263" s="65">
        <f t="shared" si="64"/>
        <v>272160000</v>
      </c>
      <c r="L263" s="36" t="s">
        <v>291</v>
      </c>
      <c r="M263" s="73"/>
      <c r="N263" s="74"/>
      <c r="O263" s="74"/>
      <c r="P263" s="74"/>
      <c r="Q263" s="75"/>
      <c r="R263" s="74"/>
      <c r="S263" s="74"/>
      <c r="T263" s="75"/>
      <c r="U263" s="76"/>
    </row>
    <row r="264" spans="1:21" ht="14.4" x14ac:dyDescent="0.25">
      <c r="A264" s="77">
        <v>221</v>
      </c>
      <c r="B264" s="77" t="s">
        <v>495</v>
      </c>
      <c r="C264" s="70">
        <v>3</v>
      </c>
      <c r="D264" s="77">
        <v>5</v>
      </c>
      <c r="E264" s="77">
        <v>43</v>
      </c>
      <c r="F264" s="70" t="s">
        <v>26</v>
      </c>
      <c r="G264" s="78">
        <v>48.6</v>
      </c>
      <c r="H264" s="65">
        <f t="array" ref="H264">INDEX(Settings!$B$3:$B$7, D264)</f>
        <v>6700000</v>
      </c>
      <c r="I264" s="65">
        <f t="shared" si="67"/>
        <v>325620000</v>
      </c>
      <c r="J264" s="65">
        <f>I264*Settings!$B$2</f>
        <v>65124000</v>
      </c>
      <c r="K264" s="65">
        <f t="shared" si="64"/>
        <v>260496000</v>
      </c>
      <c r="L264" s="36" t="s">
        <v>291</v>
      </c>
      <c r="M264" s="66"/>
      <c r="N264" s="66"/>
      <c r="O264" s="66"/>
      <c r="P264" s="66"/>
      <c r="Q264" s="79"/>
      <c r="R264" s="68"/>
      <c r="S264" s="68"/>
      <c r="T264" s="79"/>
      <c r="U264" s="77"/>
    </row>
    <row r="265" spans="1:21" ht="14.4" x14ac:dyDescent="0.25">
      <c r="A265" s="69">
        <v>222</v>
      </c>
      <c r="B265" s="70" t="s">
        <v>497</v>
      </c>
      <c r="C265" s="70">
        <v>3</v>
      </c>
      <c r="D265" s="70">
        <v>5</v>
      </c>
      <c r="E265" s="70">
        <v>44</v>
      </c>
      <c r="F265" s="70" t="s">
        <v>26</v>
      </c>
      <c r="G265" s="71">
        <v>45.72</v>
      </c>
      <c r="H265" s="65">
        <f t="array" ref="H265">INDEX(Settings!$B$3:$B$7, D265)</f>
        <v>6700000</v>
      </c>
      <c r="I265" s="72">
        <f t="shared" si="67"/>
        <v>306324000</v>
      </c>
      <c r="J265" s="65">
        <f>I265*Settings!$B$2</f>
        <v>61264800</v>
      </c>
      <c r="K265" s="65">
        <f t="shared" si="64"/>
        <v>245059200</v>
      </c>
      <c r="L265" s="36" t="s">
        <v>291</v>
      </c>
      <c r="M265" s="73"/>
      <c r="N265" s="74"/>
      <c r="O265" s="74"/>
      <c r="P265" s="74"/>
      <c r="Q265" s="75"/>
      <c r="R265" s="74"/>
      <c r="S265" s="74"/>
      <c r="T265" s="75"/>
      <c r="U265" s="76"/>
    </row>
    <row r="266" spans="1:21" ht="14.4" x14ac:dyDescent="0.25">
      <c r="A266" s="69">
        <v>223</v>
      </c>
      <c r="B266" s="70" t="s">
        <v>497</v>
      </c>
      <c r="C266" s="70">
        <v>3</v>
      </c>
      <c r="D266" s="70">
        <v>5</v>
      </c>
      <c r="E266" s="70">
        <v>45</v>
      </c>
      <c r="F266" s="70" t="s">
        <v>26</v>
      </c>
      <c r="G266" s="71">
        <v>48.6</v>
      </c>
      <c r="H266" s="65">
        <f t="array" ref="H266">INDEX(Settings!$B$3:$B$7, D266)</f>
        <v>6700000</v>
      </c>
      <c r="I266" s="65">
        <f t="shared" si="67"/>
        <v>325620000</v>
      </c>
      <c r="J266" s="65">
        <f>I266*Settings!$B$2</f>
        <v>65124000</v>
      </c>
      <c r="K266" s="65">
        <f t="shared" si="64"/>
        <v>260496000</v>
      </c>
      <c r="L266" s="36" t="s">
        <v>291</v>
      </c>
      <c r="M266" s="73"/>
      <c r="N266" s="74"/>
      <c r="O266" s="74"/>
      <c r="P266" s="74"/>
      <c r="Q266" s="75"/>
      <c r="R266" s="74"/>
      <c r="S266" s="74"/>
      <c r="T266" s="75"/>
      <c r="U266" s="76"/>
    </row>
    <row r="267" spans="1:21" ht="14.4" x14ac:dyDescent="0.25">
      <c r="A267" s="77">
        <v>221</v>
      </c>
      <c r="B267" s="77" t="s">
        <v>495</v>
      </c>
      <c r="C267" s="70">
        <v>4</v>
      </c>
      <c r="D267" s="77">
        <v>1</v>
      </c>
      <c r="E267" s="77">
        <v>46</v>
      </c>
      <c r="F267" s="70" t="s">
        <v>26</v>
      </c>
      <c r="G267" s="78">
        <v>48.6</v>
      </c>
      <c r="H267" s="65">
        <f t="array" ref="H267">INDEX(Settings!$B$3:$B$7, D267)</f>
        <v>7700000</v>
      </c>
      <c r="I267" s="65">
        <f t="shared" si="67"/>
        <v>374220000</v>
      </c>
      <c r="J267" s="65">
        <f>I267*Settings!$B$2</f>
        <v>74844000</v>
      </c>
      <c r="K267" s="65">
        <f t="shared" si="64"/>
        <v>299376000</v>
      </c>
      <c r="L267" s="36" t="s">
        <v>291</v>
      </c>
      <c r="M267" s="66"/>
      <c r="N267" s="66"/>
      <c r="O267" s="66"/>
      <c r="P267" s="66"/>
      <c r="Q267" s="79"/>
      <c r="R267" s="68"/>
      <c r="S267" s="68"/>
      <c r="T267" s="79"/>
      <c r="U267" s="77"/>
    </row>
    <row r="268" spans="1:21" ht="14.4" x14ac:dyDescent="0.25">
      <c r="A268" s="69">
        <v>222</v>
      </c>
      <c r="B268" s="70" t="s">
        <v>497</v>
      </c>
      <c r="C268" s="70">
        <v>4</v>
      </c>
      <c r="D268" s="70">
        <v>1</v>
      </c>
      <c r="E268" s="70">
        <v>47</v>
      </c>
      <c r="F268" s="70" t="s">
        <v>26</v>
      </c>
      <c r="G268" s="71">
        <v>45.72</v>
      </c>
      <c r="H268" s="65">
        <f t="array" ref="H268">INDEX(Settings!$B$3:$B$7, D268)</f>
        <v>7700000</v>
      </c>
      <c r="I268" s="72">
        <f t="shared" si="67"/>
        <v>352044000</v>
      </c>
      <c r="J268" s="65">
        <f>I268*Settings!$B$2</f>
        <v>70408800</v>
      </c>
      <c r="K268" s="65">
        <f t="shared" si="64"/>
        <v>281635200</v>
      </c>
      <c r="L268" s="36" t="s">
        <v>291</v>
      </c>
      <c r="M268" s="73"/>
      <c r="N268" s="74"/>
      <c r="O268" s="74"/>
      <c r="P268" s="74"/>
      <c r="Q268" s="75"/>
      <c r="R268" s="74"/>
      <c r="S268" s="74"/>
      <c r="T268" s="75"/>
      <c r="U268" s="76"/>
    </row>
    <row r="269" spans="1:21" ht="14.4" x14ac:dyDescent="0.25">
      <c r="A269" s="69">
        <v>223</v>
      </c>
      <c r="B269" s="70" t="s">
        <v>497</v>
      </c>
      <c r="C269" s="70">
        <v>4</v>
      </c>
      <c r="D269" s="70">
        <v>1</v>
      </c>
      <c r="E269" s="70">
        <v>48</v>
      </c>
      <c r="F269" s="70" t="s">
        <v>26</v>
      </c>
      <c r="G269" s="71">
        <v>48.6</v>
      </c>
      <c r="H269" s="65">
        <f t="array" ref="H269">INDEX(Settings!$B$3:$B$7, D269)</f>
        <v>7700000</v>
      </c>
      <c r="I269" s="65">
        <f t="shared" si="67"/>
        <v>374220000</v>
      </c>
      <c r="J269" s="65">
        <f>I269*Settings!$B$2</f>
        <v>74844000</v>
      </c>
      <c r="K269" s="65">
        <f t="shared" si="64"/>
        <v>299376000</v>
      </c>
      <c r="L269" s="36" t="s">
        <v>291</v>
      </c>
      <c r="M269" s="73"/>
      <c r="N269" s="74"/>
      <c r="O269" s="74"/>
      <c r="P269" s="74"/>
      <c r="Q269" s="75"/>
      <c r="R269" s="74"/>
      <c r="S269" s="74"/>
      <c r="T269" s="75"/>
      <c r="U269" s="76"/>
    </row>
    <row r="270" spans="1:21" ht="14.4" x14ac:dyDescent="0.25">
      <c r="A270" s="77">
        <v>221</v>
      </c>
      <c r="B270" s="77" t="s">
        <v>495</v>
      </c>
      <c r="C270" s="70">
        <v>4</v>
      </c>
      <c r="D270" s="77">
        <v>2</v>
      </c>
      <c r="E270" s="77">
        <v>49</v>
      </c>
      <c r="F270" s="70" t="s">
        <v>26</v>
      </c>
      <c r="G270" s="78">
        <v>48.6</v>
      </c>
      <c r="H270" s="65">
        <f t="array" ref="H270">INDEX(Settings!$B$3:$B$7, D270)</f>
        <v>7800000</v>
      </c>
      <c r="I270" s="65">
        <f t="shared" si="67"/>
        <v>379080000</v>
      </c>
      <c r="J270" s="65">
        <f>I270*Settings!$B$2</f>
        <v>75816000</v>
      </c>
      <c r="K270" s="65">
        <f t="shared" si="64"/>
        <v>303264000</v>
      </c>
      <c r="L270" s="36" t="s">
        <v>291</v>
      </c>
      <c r="M270" s="66"/>
      <c r="N270" s="66"/>
      <c r="O270" s="66"/>
      <c r="P270" s="66"/>
      <c r="Q270" s="79"/>
      <c r="R270" s="68"/>
      <c r="S270" s="68"/>
      <c r="T270" s="79"/>
      <c r="U270" s="77"/>
    </row>
    <row r="271" spans="1:21" ht="14.4" x14ac:dyDescent="0.25">
      <c r="A271" s="69">
        <v>222</v>
      </c>
      <c r="B271" s="70" t="s">
        <v>497</v>
      </c>
      <c r="C271" s="70">
        <v>4</v>
      </c>
      <c r="D271" s="70">
        <v>2</v>
      </c>
      <c r="E271" s="70">
        <v>50</v>
      </c>
      <c r="F271" s="70" t="s">
        <v>26</v>
      </c>
      <c r="G271" s="71">
        <v>45.72</v>
      </c>
      <c r="H271" s="65">
        <f t="array" ref="H271">INDEX(Settings!$B$3:$B$7, D271)</f>
        <v>7800000</v>
      </c>
      <c r="I271" s="72">
        <f t="shared" si="67"/>
        <v>356616000</v>
      </c>
      <c r="J271" s="65">
        <f>I271*Settings!$B$2</f>
        <v>71323200</v>
      </c>
      <c r="K271" s="65">
        <f t="shared" si="64"/>
        <v>285292800</v>
      </c>
      <c r="L271" s="36" t="s">
        <v>291</v>
      </c>
      <c r="M271" s="73"/>
      <c r="N271" s="74"/>
      <c r="O271" s="74"/>
      <c r="P271" s="74"/>
      <c r="Q271" s="75"/>
      <c r="R271" s="74"/>
      <c r="S271" s="74"/>
      <c r="T271" s="75"/>
      <c r="U271" s="76"/>
    </row>
    <row r="272" spans="1:21" ht="14.4" x14ac:dyDescent="0.25">
      <c r="A272" s="69">
        <v>223</v>
      </c>
      <c r="B272" s="70" t="s">
        <v>497</v>
      </c>
      <c r="C272" s="70">
        <v>4</v>
      </c>
      <c r="D272" s="70">
        <v>2</v>
      </c>
      <c r="E272" s="70">
        <v>51</v>
      </c>
      <c r="F272" s="70" t="s">
        <v>26</v>
      </c>
      <c r="G272" s="71">
        <v>48.6</v>
      </c>
      <c r="H272" s="65">
        <f t="array" ref="H272">INDEX(Settings!$B$3:$B$7, D272)</f>
        <v>7800000</v>
      </c>
      <c r="I272" s="65">
        <f t="shared" si="67"/>
        <v>379080000</v>
      </c>
      <c r="J272" s="65">
        <f>I272*Settings!$B$2</f>
        <v>75816000</v>
      </c>
      <c r="K272" s="65">
        <f t="shared" si="64"/>
        <v>303264000</v>
      </c>
      <c r="L272" s="36" t="s">
        <v>291</v>
      </c>
      <c r="M272" s="73"/>
      <c r="N272" s="74"/>
      <c r="O272" s="74"/>
      <c r="P272" s="74"/>
      <c r="Q272" s="75"/>
      <c r="R272" s="74"/>
      <c r="S272" s="74"/>
      <c r="T272" s="75"/>
      <c r="U272" s="76"/>
    </row>
    <row r="273" spans="1:21" ht="14.4" x14ac:dyDescent="0.25">
      <c r="A273" s="77">
        <v>221</v>
      </c>
      <c r="B273" s="77" t="s">
        <v>495</v>
      </c>
      <c r="C273" s="70">
        <v>4</v>
      </c>
      <c r="D273" s="77">
        <v>3</v>
      </c>
      <c r="E273" s="77">
        <v>52</v>
      </c>
      <c r="F273" s="70" t="s">
        <v>26</v>
      </c>
      <c r="G273" s="78">
        <v>48.6</v>
      </c>
      <c r="H273" s="65">
        <f t="array" ref="H273">INDEX(Settings!$B$3:$B$7, D273)</f>
        <v>7300000</v>
      </c>
      <c r="I273" s="65">
        <f t="shared" si="67"/>
        <v>354780000</v>
      </c>
      <c r="J273" s="65">
        <f>I273*Settings!$B$2</f>
        <v>70956000</v>
      </c>
      <c r="K273" s="65">
        <f t="shared" si="64"/>
        <v>283824000</v>
      </c>
      <c r="L273" s="36" t="s">
        <v>291</v>
      </c>
      <c r="M273" s="66"/>
      <c r="N273" s="66"/>
      <c r="O273" s="66"/>
      <c r="P273" s="66"/>
      <c r="Q273" s="79"/>
      <c r="R273" s="68"/>
      <c r="S273" s="68"/>
      <c r="T273" s="79"/>
      <c r="U273" s="77"/>
    </row>
    <row r="274" spans="1:21" ht="14.4" x14ac:dyDescent="0.25">
      <c r="A274" s="69">
        <v>222</v>
      </c>
      <c r="B274" s="70" t="s">
        <v>497</v>
      </c>
      <c r="C274" s="70">
        <v>4</v>
      </c>
      <c r="D274" s="70">
        <v>3</v>
      </c>
      <c r="E274" s="70">
        <v>53</v>
      </c>
      <c r="F274" s="70" t="s">
        <v>26</v>
      </c>
      <c r="G274" s="71">
        <v>45.72</v>
      </c>
      <c r="H274" s="65">
        <f t="array" ref="H274">INDEX(Settings!$B$3:$B$7, D274)</f>
        <v>7300000</v>
      </c>
      <c r="I274" s="72">
        <f t="shared" si="67"/>
        <v>333756000</v>
      </c>
      <c r="J274" s="65">
        <f>I274*Settings!$B$2</f>
        <v>66751200</v>
      </c>
      <c r="K274" s="65">
        <f t="shared" si="64"/>
        <v>267004800</v>
      </c>
      <c r="L274" s="36" t="s">
        <v>291</v>
      </c>
      <c r="M274" s="73"/>
      <c r="N274" s="74"/>
      <c r="O274" s="74"/>
      <c r="P274" s="74"/>
      <c r="Q274" s="75"/>
      <c r="R274" s="74"/>
      <c r="S274" s="74"/>
      <c r="T274" s="75"/>
      <c r="U274" s="76"/>
    </row>
    <row r="275" spans="1:21" ht="14.4" x14ac:dyDescent="0.25">
      <c r="A275" s="69">
        <v>223</v>
      </c>
      <c r="B275" s="70" t="s">
        <v>497</v>
      </c>
      <c r="C275" s="70">
        <v>4</v>
      </c>
      <c r="D275" s="70">
        <v>3</v>
      </c>
      <c r="E275" s="70">
        <v>54</v>
      </c>
      <c r="F275" s="70" t="s">
        <v>26</v>
      </c>
      <c r="G275" s="71">
        <v>48.6</v>
      </c>
      <c r="H275" s="65">
        <f t="array" ref="H275">INDEX(Settings!$B$3:$B$7, D275)</f>
        <v>7300000</v>
      </c>
      <c r="I275" s="65">
        <f t="shared" si="67"/>
        <v>354780000</v>
      </c>
      <c r="J275" s="65">
        <f>I275*Settings!$B$2</f>
        <v>70956000</v>
      </c>
      <c r="K275" s="65">
        <f t="shared" si="64"/>
        <v>283824000</v>
      </c>
      <c r="L275" s="36" t="s">
        <v>291</v>
      </c>
      <c r="M275" s="73"/>
      <c r="N275" s="74"/>
      <c r="O275" s="74"/>
      <c r="P275" s="74"/>
      <c r="Q275" s="75"/>
      <c r="R275" s="74"/>
      <c r="S275" s="74"/>
      <c r="T275" s="75"/>
      <c r="U275" s="76"/>
    </row>
    <row r="276" spans="1:21" ht="14.4" x14ac:dyDescent="0.25">
      <c r="A276" s="77">
        <v>221</v>
      </c>
      <c r="B276" s="77" t="s">
        <v>495</v>
      </c>
      <c r="C276" s="70">
        <v>4</v>
      </c>
      <c r="D276" s="77">
        <v>4</v>
      </c>
      <c r="E276" s="77">
        <v>55</v>
      </c>
      <c r="F276" s="70" t="s">
        <v>26</v>
      </c>
      <c r="G276" s="78">
        <v>48.6</v>
      </c>
      <c r="H276" s="65">
        <f t="array" ref="H276">INDEX(Settings!$B$3:$B$7, D276)</f>
        <v>7000000</v>
      </c>
      <c r="I276" s="65">
        <f t="shared" si="67"/>
        <v>340200000</v>
      </c>
      <c r="J276" s="65">
        <f>I276*Settings!$B$2</f>
        <v>68040000</v>
      </c>
      <c r="K276" s="65">
        <f t="shared" si="64"/>
        <v>272160000</v>
      </c>
      <c r="L276" s="36" t="s">
        <v>291</v>
      </c>
      <c r="M276" s="66"/>
      <c r="N276" s="66"/>
      <c r="O276" s="66"/>
      <c r="P276" s="66"/>
      <c r="Q276" s="79"/>
      <c r="R276" s="68"/>
      <c r="S276" s="68"/>
      <c r="T276" s="79"/>
      <c r="U276" s="77"/>
    </row>
    <row r="277" spans="1:21" ht="14.4" x14ac:dyDescent="0.25">
      <c r="A277" s="69">
        <v>222</v>
      </c>
      <c r="B277" s="70" t="s">
        <v>497</v>
      </c>
      <c r="C277" s="70">
        <v>4</v>
      </c>
      <c r="D277" s="70">
        <v>4</v>
      </c>
      <c r="E277" s="70">
        <v>56</v>
      </c>
      <c r="F277" s="70" t="s">
        <v>26</v>
      </c>
      <c r="G277" s="71">
        <v>45.72</v>
      </c>
      <c r="H277" s="65">
        <f t="array" ref="H277">INDEX(Settings!$B$3:$B$7, D277)</f>
        <v>7000000</v>
      </c>
      <c r="I277" s="72">
        <f t="shared" si="67"/>
        <v>320040000</v>
      </c>
      <c r="J277" s="65">
        <f>I277*Settings!$B$2</f>
        <v>64008000</v>
      </c>
      <c r="K277" s="65">
        <f t="shared" si="64"/>
        <v>256032000</v>
      </c>
      <c r="L277" s="36" t="s">
        <v>291</v>
      </c>
      <c r="M277" s="73"/>
      <c r="N277" s="74"/>
      <c r="O277" s="74"/>
      <c r="P277" s="74"/>
      <c r="Q277" s="75"/>
      <c r="R277" s="74"/>
      <c r="S277" s="74"/>
      <c r="T277" s="75"/>
      <c r="U277" s="76"/>
    </row>
    <row r="278" spans="1:21" ht="14.4" x14ac:dyDescent="0.25">
      <c r="A278" s="69">
        <v>223</v>
      </c>
      <c r="B278" s="70" t="s">
        <v>497</v>
      </c>
      <c r="C278" s="70">
        <v>4</v>
      </c>
      <c r="D278" s="70">
        <v>4</v>
      </c>
      <c r="E278" s="70">
        <v>57</v>
      </c>
      <c r="F278" s="70" t="s">
        <v>26</v>
      </c>
      <c r="G278" s="71">
        <v>48.6</v>
      </c>
      <c r="H278" s="65">
        <f t="array" ref="H278">INDEX(Settings!$B$3:$B$7, D278)</f>
        <v>7000000</v>
      </c>
      <c r="I278" s="65">
        <f t="shared" si="67"/>
        <v>340200000</v>
      </c>
      <c r="J278" s="65">
        <f>I278*Settings!$B$2</f>
        <v>68040000</v>
      </c>
      <c r="K278" s="65">
        <f t="shared" si="64"/>
        <v>272160000</v>
      </c>
      <c r="L278" s="36" t="s">
        <v>291</v>
      </c>
      <c r="M278" s="73"/>
      <c r="N278" s="74"/>
      <c r="O278" s="74"/>
      <c r="P278" s="74"/>
      <c r="Q278" s="75"/>
      <c r="R278" s="74"/>
      <c r="S278" s="74"/>
      <c r="T278" s="75"/>
      <c r="U278" s="76"/>
    </row>
    <row r="279" spans="1:21" ht="14.4" x14ac:dyDescent="0.25">
      <c r="A279" s="77">
        <v>221</v>
      </c>
      <c r="B279" s="77" t="s">
        <v>495</v>
      </c>
      <c r="C279" s="70">
        <v>4</v>
      </c>
      <c r="D279" s="77">
        <v>5</v>
      </c>
      <c r="E279" s="77">
        <v>58</v>
      </c>
      <c r="F279" s="70" t="s">
        <v>26</v>
      </c>
      <c r="G279" s="78">
        <v>48.6</v>
      </c>
      <c r="H279" s="65">
        <f t="array" ref="H279">INDEX(Settings!$B$3:$B$7, D279)</f>
        <v>6700000</v>
      </c>
      <c r="I279" s="65">
        <f t="shared" si="67"/>
        <v>325620000</v>
      </c>
      <c r="J279" s="65">
        <f>I279*Settings!$B$2</f>
        <v>65124000</v>
      </c>
      <c r="K279" s="65">
        <f t="shared" si="64"/>
        <v>260496000</v>
      </c>
      <c r="L279" s="36" t="s">
        <v>291</v>
      </c>
      <c r="M279" s="66"/>
      <c r="N279" s="66"/>
      <c r="O279" s="66"/>
      <c r="P279" s="66"/>
      <c r="Q279" s="79"/>
      <c r="R279" s="68"/>
      <c r="S279" s="68"/>
      <c r="T279" s="79"/>
      <c r="U279" s="77"/>
    </row>
    <row r="280" spans="1:21" ht="14.4" x14ac:dyDescent="0.25">
      <c r="A280" s="69">
        <v>222</v>
      </c>
      <c r="B280" s="70" t="s">
        <v>497</v>
      </c>
      <c r="C280" s="70">
        <v>4</v>
      </c>
      <c r="D280" s="70">
        <v>5</v>
      </c>
      <c r="E280" s="70">
        <v>59</v>
      </c>
      <c r="F280" s="70" t="s">
        <v>26</v>
      </c>
      <c r="G280" s="71">
        <v>45.72</v>
      </c>
      <c r="H280" s="65">
        <f t="array" ref="H280">INDEX(Settings!$B$3:$B$7, D280)</f>
        <v>6700000</v>
      </c>
      <c r="I280" s="72">
        <f t="shared" si="67"/>
        <v>306324000</v>
      </c>
      <c r="J280" s="65">
        <f>I280*Settings!$B$2</f>
        <v>61264800</v>
      </c>
      <c r="K280" s="65">
        <f t="shared" si="64"/>
        <v>245059200</v>
      </c>
      <c r="L280" s="36" t="s">
        <v>291</v>
      </c>
      <c r="M280" s="73"/>
      <c r="N280" s="74"/>
      <c r="O280" s="74"/>
      <c r="P280" s="74"/>
      <c r="Q280" s="75"/>
      <c r="R280" s="74"/>
      <c r="S280" s="74"/>
      <c r="T280" s="75"/>
      <c r="U280" s="76"/>
    </row>
    <row r="281" spans="1:21" ht="14.4" x14ac:dyDescent="0.25">
      <c r="A281" s="69">
        <v>223</v>
      </c>
      <c r="B281" s="70" t="s">
        <v>497</v>
      </c>
      <c r="C281" s="70">
        <v>4</v>
      </c>
      <c r="D281" s="70">
        <v>5</v>
      </c>
      <c r="E281" s="70">
        <v>60</v>
      </c>
      <c r="F281" s="70" t="s">
        <v>26</v>
      </c>
      <c r="G281" s="71">
        <v>48.6</v>
      </c>
      <c r="H281" s="65">
        <f t="array" ref="H281">INDEX(Settings!$B$3:$B$7, D281)</f>
        <v>6700000</v>
      </c>
      <c r="I281" s="65">
        <f t="shared" si="67"/>
        <v>325620000</v>
      </c>
      <c r="J281" s="65">
        <f>I281*Settings!$B$2</f>
        <v>65124000</v>
      </c>
      <c r="K281" s="65">
        <f t="shared" si="64"/>
        <v>260496000</v>
      </c>
      <c r="L281" s="36" t="s">
        <v>291</v>
      </c>
      <c r="M281" s="73"/>
      <c r="N281" s="74"/>
      <c r="O281" s="74"/>
      <c r="P281" s="74"/>
      <c r="Q281" s="75"/>
      <c r="R281" s="74"/>
      <c r="S281" s="74"/>
      <c r="T281" s="75"/>
      <c r="U281" s="76"/>
    </row>
    <row r="282" spans="1:21" ht="14.4" x14ac:dyDescent="0.25">
      <c r="A282" s="77">
        <v>224</v>
      </c>
      <c r="B282" s="77" t="s">
        <v>495</v>
      </c>
      <c r="C282" s="70">
        <v>5</v>
      </c>
      <c r="D282" s="77">
        <v>1</v>
      </c>
      <c r="E282" s="77">
        <v>61</v>
      </c>
      <c r="F282" s="70" t="s">
        <v>29</v>
      </c>
      <c r="G282" s="78">
        <v>32.9</v>
      </c>
      <c r="H282" s="65">
        <f t="array" ref="H282">INDEX(Settings!$B$3:$B$7, D282)</f>
        <v>7700000</v>
      </c>
      <c r="I282" s="65">
        <f t="shared" si="67"/>
        <v>253330000</v>
      </c>
      <c r="J282" s="65">
        <f>I282*Settings!$B$2</f>
        <v>50666000</v>
      </c>
      <c r="K282" s="65">
        <f t="shared" si="64"/>
        <v>202664000</v>
      </c>
      <c r="L282" s="36" t="s">
        <v>291</v>
      </c>
      <c r="M282" s="73"/>
      <c r="N282" s="74"/>
      <c r="O282" s="74"/>
      <c r="P282" s="74"/>
      <c r="Q282" s="75"/>
      <c r="R282" s="74"/>
      <c r="S282" s="74"/>
      <c r="T282" s="75"/>
      <c r="U282" s="76"/>
    </row>
    <row r="283" spans="1:21" ht="14.4" x14ac:dyDescent="0.25">
      <c r="A283" s="69">
        <v>225</v>
      </c>
      <c r="B283" s="70" t="s">
        <v>497</v>
      </c>
      <c r="C283" s="70">
        <v>5</v>
      </c>
      <c r="D283" s="70">
        <v>1</v>
      </c>
      <c r="E283" s="70">
        <v>62</v>
      </c>
      <c r="F283" s="70" t="s">
        <v>26</v>
      </c>
      <c r="G283" s="71">
        <v>43.66</v>
      </c>
      <c r="H283" s="65">
        <f t="array" ref="H283">INDEX(Settings!$B$3:$B$7, D283)</f>
        <v>7700000</v>
      </c>
      <c r="I283" s="65">
        <f t="shared" si="67"/>
        <v>336182000</v>
      </c>
      <c r="J283" s="65">
        <f>I283*Settings!$B$2</f>
        <v>67236400</v>
      </c>
      <c r="K283" s="65">
        <f t="shared" si="64"/>
        <v>268945600</v>
      </c>
      <c r="L283" s="36" t="s">
        <v>291</v>
      </c>
      <c r="M283" s="73"/>
      <c r="N283" s="74"/>
      <c r="O283" s="74"/>
      <c r="P283" s="74"/>
      <c r="Q283" s="75"/>
      <c r="R283" s="74"/>
      <c r="S283" s="74"/>
      <c r="T283" s="75"/>
      <c r="U283" s="76"/>
    </row>
    <row r="284" spans="1:21" ht="14.4" x14ac:dyDescent="0.25">
      <c r="A284" s="69">
        <v>226</v>
      </c>
      <c r="B284" s="70" t="s">
        <v>497</v>
      </c>
      <c r="C284" s="70">
        <v>5</v>
      </c>
      <c r="D284" s="70">
        <v>1</v>
      </c>
      <c r="E284" s="70">
        <v>63</v>
      </c>
      <c r="F284" s="70" t="s">
        <v>29</v>
      </c>
      <c r="G284" s="71">
        <v>32.9</v>
      </c>
      <c r="H284" s="65">
        <f t="array" ref="H284">INDEX(Settings!$B$3:$B$7, D284)</f>
        <v>7700000</v>
      </c>
      <c r="I284" s="65">
        <f t="shared" si="67"/>
        <v>253330000</v>
      </c>
      <c r="J284" s="65">
        <f>I284*Settings!$B$2</f>
        <v>50666000</v>
      </c>
      <c r="K284" s="65">
        <f t="shared" si="64"/>
        <v>202664000</v>
      </c>
      <c r="L284" s="36" t="s">
        <v>291</v>
      </c>
      <c r="M284" s="73"/>
      <c r="N284" s="74"/>
      <c r="O284" s="74"/>
      <c r="P284" s="74"/>
      <c r="Q284" s="75"/>
      <c r="R284" s="74"/>
      <c r="S284" s="74"/>
      <c r="T284" s="75"/>
      <c r="U284" s="76"/>
    </row>
    <row r="285" spans="1:21" ht="14.4" x14ac:dyDescent="0.25">
      <c r="A285" s="69">
        <v>226</v>
      </c>
      <c r="B285" s="70" t="s">
        <v>497</v>
      </c>
      <c r="C285" s="70">
        <v>5</v>
      </c>
      <c r="D285" s="70">
        <v>1</v>
      </c>
      <c r="E285" s="77">
        <v>64</v>
      </c>
      <c r="F285" s="70" t="s">
        <v>29</v>
      </c>
      <c r="G285" s="71">
        <v>32.9</v>
      </c>
      <c r="H285" s="65">
        <f t="array" ref="H285">INDEX(Settings!$B$3:$B$7, D285)</f>
        <v>7700000</v>
      </c>
      <c r="I285" s="65">
        <f t="shared" si="67"/>
        <v>253330000</v>
      </c>
      <c r="J285" s="65">
        <f>I285*Settings!$B$2</f>
        <v>50666000</v>
      </c>
      <c r="K285" s="65">
        <f t="shared" si="64"/>
        <v>202664000</v>
      </c>
      <c r="L285" s="36" t="s">
        <v>291</v>
      </c>
      <c r="M285" s="73"/>
      <c r="N285" s="74"/>
      <c r="O285" s="74"/>
      <c r="P285" s="74"/>
      <c r="Q285" s="75"/>
      <c r="R285" s="74"/>
      <c r="S285" s="74"/>
      <c r="T285" s="75"/>
      <c r="U285" s="76"/>
    </row>
    <row r="286" spans="1:21" ht="14.4" x14ac:dyDescent="0.25">
      <c r="A286" s="77">
        <v>224</v>
      </c>
      <c r="B286" s="77" t="s">
        <v>495</v>
      </c>
      <c r="C286" s="70">
        <v>5</v>
      </c>
      <c r="D286" s="70">
        <v>2</v>
      </c>
      <c r="E286" s="70">
        <v>65</v>
      </c>
      <c r="F286" s="70" t="s">
        <v>29</v>
      </c>
      <c r="G286" s="78">
        <v>32.9</v>
      </c>
      <c r="H286" s="65">
        <f t="array" ref="H286">INDEX(Settings!$B$3:$B$7, D286)</f>
        <v>7800000</v>
      </c>
      <c r="I286" s="65">
        <f t="shared" si="67"/>
        <v>256620000</v>
      </c>
      <c r="J286" s="65">
        <f>I286*Settings!$B$2</f>
        <v>51324000</v>
      </c>
      <c r="K286" s="65">
        <f t="shared" si="64"/>
        <v>205296000</v>
      </c>
      <c r="L286" s="36" t="s">
        <v>291</v>
      </c>
      <c r="M286" s="73"/>
      <c r="N286" s="74"/>
      <c r="O286" s="74"/>
      <c r="P286" s="74"/>
      <c r="Q286" s="75"/>
      <c r="R286" s="74"/>
      <c r="S286" s="74"/>
      <c r="T286" s="75"/>
      <c r="U286" s="76"/>
    </row>
    <row r="287" spans="1:21" ht="14.4" x14ac:dyDescent="0.25">
      <c r="A287" s="69">
        <v>225</v>
      </c>
      <c r="B287" s="70" t="s">
        <v>497</v>
      </c>
      <c r="C287" s="70">
        <v>5</v>
      </c>
      <c r="D287" s="70">
        <v>2</v>
      </c>
      <c r="E287" s="70">
        <v>66</v>
      </c>
      <c r="F287" s="70" t="s">
        <v>26</v>
      </c>
      <c r="G287" s="71">
        <v>43.66</v>
      </c>
      <c r="H287" s="65">
        <f t="array" ref="H287">INDEX(Settings!$B$3:$B$7, D287)</f>
        <v>7800000</v>
      </c>
      <c r="I287" s="65">
        <f t="shared" si="67"/>
        <v>340548000</v>
      </c>
      <c r="J287" s="65">
        <f>I287*Settings!$B$2</f>
        <v>68109600</v>
      </c>
      <c r="K287" s="65">
        <f t="shared" si="64"/>
        <v>272438400</v>
      </c>
      <c r="L287" s="36" t="s">
        <v>291</v>
      </c>
      <c r="M287" s="73"/>
      <c r="N287" s="74"/>
      <c r="O287" s="74"/>
      <c r="P287" s="74"/>
      <c r="Q287" s="75"/>
      <c r="R287" s="74"/>
      <c r="S287" s="74"/>
      <c r="T287" s="75"/>
      <c r="U287" s="76"/>
    </row>
    <row r="288" spans="1:21" ht="14.4" x14ac:dyDescent="0.25">
      <c r="A288" s="69">
        <v>226</v>
      </c>
      <c r="B288" s="70" t="s">
        <v>497</v>
      </c>
      <c r="C288" s="70">
        <v>5</v>
      </c>
      <c r="D288" s="70">
        <v>2</v>
      </c>
      <c r="E288" s="77">
        <v>67</v>
      </c>
      <c r="F288" s="70" t="s">
        <v>29</v>
      </c>
      <c r="G288" s="71">
        <v>32.9</v>
      </c>
      <c r="H288" s="65">
        <f t="array" ref="H288">INDEX(Settings!$B$3:$B$7, D288)</f>
        <v>7800000</v>
      </c>
      <c r="I288" s="65">
        <f t="shared" si="67"/>
        <v>256620000</v>
      </c>
      <c r="J288" s="65">
        <f>I288*Settings!$B$2</f>
        <v>51324000</v>
      </c>
      <c r="K288" s="65">
        <f t="shared" si="64"/>
        <v>205296000</v>
      </c>
      <c r="L288" s="36" t="s">
        <v>291</v>
      </c>
      <c r="M288" s="73"/>
      <c r="N288" s="74"/>
      <c r="O288" s="74"/>
      <c r="P288" s="74"/>
      <c r="Q288" s="75"/>
      <c r="R288" s="74"/>
      <c r="S288" s="74"/>
      <c r="T288" s="75"/>
      <c r="U288" s="76"/>
    </row>
    <row r="289" spans="1:21" ht="14.4" x14ac:dyDescent="0.25">
      <c r="A289" s="69">
        <v>226</v>
      </c>
      <c r="B289" s="70" t="s">
        <v>497</v>
      </c>
      <c r="C289" s="70">
        <v>5</v>
      </c>
      <c r="D289" s="70">
        <v>2</v>
      </c>
      <c r="E289" s="70">
        <v>68</v>
      </c>
      <c r="F289" s="70" t="s">
        <v>29</v>
      </c>
      <c r="G289" s="71">
        <v>32.9</v>
      </c>
      <c r="H289" s="65">
        <f t="array" ref="H289">INDEX(Settings!$B$3:$B$7, D289)</f>
        <v>7800000</v>
      </c>
      <c r="I289" s="65">
        <f t="shared" si="67"/>
        <v>256620000</v>
      </c>
      <c r="J289" s="65">
        <f>I289*Settings!$B$2</f>
        <v>51324000</v>
      </c>
      <c r="K289" s="65">
        <f t="shared" si="64"/>
        <v>205296000</v>
      </c>
      <c r="L289" s="36" t="s">
        <v>291</v>
      </c>
      <c r="M289" s="73"/>
      <c r="N289" s="74"/>
      <c r="O289" s="74"/>
      <c r="P289" s="74"/>
      <c r="Q289" s="75"/>
      <c r="R289" s="74"/>
      <c r="S289" s="74"/>
      <c r="T289" s="75"/>
      <c r="U289" s="76"/>
    </row>
    <row r="290" spans="1:21" ht="14.4" x14ac:dyDescent="0.25">
      <c r="A290" s="77">
        <v>224</v>
      </c>
      <c r="B290" s="77" t="s">
        <v>495</v>
      </c>
      <c r="C290" s="70">
        <v>5</v>
      </c>
      <c r="D290" s="77">
        <v>3</v>
      </c>
      <c r="E290" s="70">
        <v>69</v>
      </c>
      <c r="F290" s="70" t="s">
        <v>29</v>
      </c>
      <c r="G290" s="78">
        <v>32.9</v>
      </c>
      <c r="H290" s="65">
        <f t="array" ref="H290">INDEX(Settings!$B$3:$B$7, D290)</f>
        <v>7300000</v>
      </c>
      <c r="I290" s="65">
        <f t="shared" si="67"/>
        <v>240170000</v>
      </c>
      <c r="J290" s="65">
        <f>I290*Settings!$B$2</f>
        <v>48034000</v>
      </c>
      <c r="K290" s="65">
        <f t="shared" si="64"/>
        <v>192136000</v>
      </c>
      <c r="L290" s="36" t="s">
        <v>291</v>
      </c>
      <c r="M290" s="73"/>
      <c r="N290" s="74"/>
      <c r="O290" s="74"/>
      <c r="P290" s="74"/>
      <c r="Q290" s="75"/>
      <c r="R290" s="74"/>
      <c r="S290" s="74"/>
      <c r="T290" s="75"/>
      <c r="U290" s="76"/>
    </row>
    <row r="291" spans="1:21" ht="14.4" x14ac:dyDescent="0.25">
      <c r="A291" s="69">
        <v>225</v>
      </c>
      <c r="B291" s="70" t="s">
        <v>497</v>
      </c>
      <c r="C291" s="70">
        <v>5</v>
      </c>
      <c r="D291" s="70">
        <v>3</v>
      </c>
      <c r="E291" s="77">
        <v>70</v>
      </c>
      <c r="F291" s="70" t="s">
        <v>26</v>
      </c>
      <c r="G291" s="71">
        <v>43.66</v>
      </c>
      <c r="H291" s="65">
        <f t="array" ref="H291">INDEX(Settings!$B$3:$B$7, D291)</f>
        <v>7300000</v>
      </c>
      <c r="I291" s="65">
        <f t="shared" si="67"/>
        <v>318718000</v>
      </c>
      <c r="J291" s="65">
        <f>I291*Settings!$B$2</f>
        <v>63743600</v>
      </c>
      <c r="K291" s="65">
        <f t="shared" si="64"/>
        <v>254974400</v>
      </c>
      <c r="L291" s="36" t="s">
        <v>291</v>
      </c>
      <c r="M291" s="73"/>
      <c r="N291" s="74"/>
      <c r="O291" s="74"/>
      <c r="P291" s="74"/>
      <c r="Q291" s="75"/>
      <c r="R291" s="74"/>
      <c r="S291" s="74"/>
      <c r="T291" s="75"/>
      <c r="U291" s="76"/>
    </row>
    <row r="292" spans="1:21" ht="14.4" x14ac:dyDescent="0.25">
      <c r="A292" s="69">
        <v>226</v>
      </c>
      <c r="B292" s="70" t="s">
        <v>497</v>
      </c>
      <c r="C292" s="70">
        <v>5</v>
      </c>
      <c r="D292" s="77">
        <v>3</v>
      </c>
      <c r="E292" s="70">
        <v>71</v>
      </c>
      <c r="F292" s="70" t="s">
        <v>29</v>
      </c>
      <c r="G292" s="71">
        <v>32.9</v>
      </c>
      <c r="H292" s="65">
        <f t="array" ref="H292">INDEX(Settings!$B$3:$B$7, D292)</f>
        <v>7300000</v>
      </c>
      <c r="I292" s="65">
        <f t="shared" si="67"/>
        <v>240170000</v>
      </c>
      <c r="J292" s="65">
        <f>I292*Settings!$B$2</f>
        <v>48034000</v>
      </c>
      <c r="K292" s="65">
        <f t="shared" si="64"/>
        <v>192136000</v>
      </c>
      <c r="L292" s="36" t="s">
        <v>291</v>
      </c>
      <c r="M292" s="73"/>
      <c r="N292" s="74"/>
      <c r="O292" s="74"/>
      <c r="P292" s="74"/>
      <c r="Q292" s="75"/>
      <c r="R292" s="74"/>
      <c r="S292" s="74"/>
      <c r="T292" s="75"/>
      <c r="U292" s="76"/>
    </row>
    <row r="293" spans="1:21" ht="14.4" x14ac:dyDescent="0.25">
      <c r="A293" s="69">
        <v>226</v>
      </c>
      <c r="B293" s="70" t="s">
        <v>497</v>
      </c>
      <c r="C293" s="70">
        <v>5</v>
      </c>
      <c r="D293" s="70">
        <v>3</v>
      </c>
      <c r="E293" s="70">
        <v>72</v>
      </c>
      <c r="F293" s="70" t="s">
        <v>29</v>
      </c>
      <c r="G293" s="71">
        <v>32.9</v>
      </c>
      <c r="H293" s="65">
        <f t="array" ref="H293">INDEX(Settings!$B$3:$B$7, D293)</f>
        <v>7300000</v>
      </c>
      <c r="I293" s="65">
        <f t="shared" si="67"/>
        <v>240170000</v>
      </c>
      <c r="J293" s="65">
        <f>I293*Settings!$B$2</f>
        <v>48034000</v>
      </c>
      <c r="K293" s="65">
        <f t="shared" si="64"/>
        <v>192136000</v>
      </c>
      <c r="L293" s="36" t="s">
        <v>291</v>
      </c>
      <c r="M293" s="73"/>
      <c r="N293" s="74"/>
      <c r="O293" s="74"/>
      <c r="P293" s="74"/>
      <c r="Q293" s="75"/>
      <c r="R293" s="74"/>
      <c r="S293" s="74"/>
      <c r="T293" s="75"/>
      <c r="U293" s="76"/>
    </row>
    <row r="294" spans="1:21" ht="14.4" x14ac:dyDescent="0.25">
      <c r="A294" s="77">
        <v>224</v>
      </c>
      <c r="B294" s="77" t="s">
        <v>495</v>
      </c>
      <c r="C294" s="70">
        <v>5</v>
      </c>
      <c r="D294" s="77">
        <v>4</v>
      </c>
      <c r="E294" s="77">
        <v>73</v>
      </c>
      <c r="F294" s="70" t="s">
        <v>29</v>
      </c>
      <c r="G294" s="78">
        <v>32.9</v>
      </c>
      <c r="H294" s="65">
        <f t="array" ref="H294">INDEX(Settings!$B$3:$B$7, D294)</f>
        <v>7000000</v>
      </c>
      <c r="I294" s="65">
        <f t="shared" si="67"/>
        <v>230300000</v>
      </c>
      <c r="J294" s="65">
        <f>I294*Settings!$B$2</f>
        <v>46060000</v>
      </c>
      <c r="K294" s="65">
        <f t="shared" si="64"/>
        <v>184240000</v>
      </c>
      <c r="L294" s="36" t="s">
        <v>291</v>
      </c>
      <c r="M294" s="73"/>
      <c r="N294" s="74"/>
      <c r="O294" s="74"/>
      <c r="P294" s="74"/>
      <c r="Q294" s="75"/>
      <c r="R294" s="74"/>
      <c r="S294" s="74"/>
      <c r="T294" s="75"/>
      <c r="U294" s="76"/>
    </row>
    <row r="295" spans="1:21" ht="14.4" x14ac:dyDescent="0.25">
      <c r="A295" s="69">
        <v>225</v>
      </c>
      <c r="B295" s="70" t="s">
        <v>497</v>
      </c>
      <c r="C295" s="70">
        <v>5</v>
      </c>
      <c r="D295" s="70">
        <v>4</v>
      </c>
      <c r="E295" s="70">
        <v>74</v>
      </c>
      <c r="F295" s="70" t="s">
        <v>26</v>
      </c>
      <c r="G295" s="71">
        <v>43.66</v>
      </c>
      <c r="H295" s="65">
        <f t="array" ref="H295">INDEX(Settings!$B$3:$B$7, D295)</f>
        <v>7000000</v>
      </c>
      <c r="I295" s="65">
        <f t="shared" si="67"/>
        <v>305620000</v>
      </c>
      <c r="J295" s="65">
        <f>I295*Settings!$B$2</f>
        <v>61124000</v>
      </c>
      <c r="K295" s="65">
        <f t="shared" si="64"/>
        <v>244496000</v>
      </c>
      <c r="L295" s="36" t="s">
        <v>291</v>
      </c>
      <c r="M295" s="73"/>
      <c r="N295" s="74"/>
      <c r="O295" s="74"/>
      <c r="P295" s="74"/>
      <c r="Q295" s="75"/>
      <c r="R295" s="74"/>
      <c r="S295" s="74"/>
      <c r="T295" s="75"/>
      <c r="U295" s="76"/>
    </row>
    <row r="296" spans="1:21" ht="14.4" x14ac:dyDescent="0.25">
      <c r="A296" s="69">
        <v>226</v>
      </c>
      <c r="B296" s="70" t="s">
        <v>497</v>
      </c>
      <c r="C296" s="70">
        <v>5</v>
      </c>
      <c r="D296" s="77">
        <v>4</v>
      </c>
      <c r="E296" s="70">
        <v>75</v>
      </c>
      <c r="F296" s="70" t="s">
        <v>29</v>
      </c>
      <c r="G296" s="71">
        <v>32.9</v>
      </c>
      <c r="H296" s="65">
        <f t="array" ref="H296">INDEX(Settings!$B$3:$B$7, D296)</f>
        <v>7000000</v>
      </c>
      <c r="I296" s="65">
        <f t="shared" si="67"/>
        <v>230300000</v>
      </c>
      <c r="J296" s="65">
        <f>I296*Settings!$B$2</f>
        <v>46060000</v>
      </c>
      <c r="K296" s="65">
        <f t="shared" si="64"/>
        <v>184240000</v>
      </c>
      <c r="L296" s="36" t="s">
        <v>291</v>
      </c>
      <c r="M296" s="73"/>
      <c r="N296" s="74"/>
      <c r="O296" s="74"/>
      <c r="P296" s="74"/>
      <c r="Q296" s="75"/>
      <c r="R296" s="74"/>
      <c r="S296" s="74"/>
      <c r="T296" s="75"/>
      <c r="U296" s="76"/>
    </row>
    <row r="297" spans="1:21" ht="14.4" x14ac:dyDescent="0.25">
      <c r="A297" s="69">
        <v>226</v>
      </c>
      <c r="B297" s="70" t="s">
        <v>497</v>
      </c>
      <c r="C297" s="70">
        <v>5</v>
      </c>
      <c r="D297" s="70">
        <v>4</v>
      </c>
      <c r="E297" s="77">
        <v>76</v>
      </c>
      <c r="F297" s="70" t="s">
        <v>29</v>
      </c>
      <c r="G297" s="71">
        <v>32.9</v>
      </c>
      <c r="H297" s="65">
        <f t="array" ref="H297">INDEX(Settings!$B$3:$B$7, D297)</f>
        <v>7000000</v>
      </c>
      <c r="I297" s="65">
        <f t="shared" si="67"/>
        <v>230300000</v>
      </c>
      <c r="J297" s="65">
        <f>I297*Settings!$B$2</f>
        <v>46060000</v>
      </c>
      <c r="K297" s="65">
        <f t="shared" si="64"/>
        <v>184240000</v>
      </c>
      <c r="L297" s="36" t="s">
        <v>291</v>
      </c>
      <c r="M297" s="73"/>
      <c r="N297" s="74"/>
      <c r="O297" s="74"/>
      <c r="P297" s="74"/>
      <c r="Q297" s="75"/>
      <c r="R297" s="74"/>
      <c r="S297" s="74"/>
      <c r="T297" s="75"/>
      <c r="U297" s="76"/>
    </row>
    <row r="298" spans="1:21" ht="14.4" x14ac:dyDescent="0.25">
      <c r="A298" s="77">
        <v>224</v>
      </c>
      <c r="B298" s="77" t="s">
        <v>495</v>
      </c>
      <c r="C298" s="70">
        <v>5</v>
      </c>
      <c r="D298" s="77">
        <v>5</v>
      </c>
      <c r="E298" s="70">
        <v>77</v>
      </c>
      <c r="F298" s="70" t="s">
        <v>29</v>
      </c>
      <c r="G298" s="78">
        <v>32.9</v>
      </c>
      <c r="H298" s="65">
        <f t="array" ref="H298">INDEX(Settings!$B$3:$B$7, D298)</f>
        <v>6700000</v>
      </c>
      <c r="I298" s="65">
        <f t="shared" si="67"/>
        <v>220430000</v>
      </c>
      <c r="J298" s="65">
        <f>I298*Settings!$B$2</f>
        <v>44086000</v>
      </c>
      <c r="K298" s="65">
        <f t="shared" si="64"/>
        <v>176344000</v>
      </c>
      <c r="L298" s="36" t="s">
        <v>291</v>
      </c>
      <c r="M298" s="73"/>
      <c r="N298" s="74"/>
      <c r="O298" s="74"/>
      <c r="P298" s="74"/>
      <c r="Q298" s="75"/>
      <c r="R298" s="74"/>
      <c r="S298" s="74"/>
      <c r="T298" s="75"/>
      <c r="U298" s="76"/>
    </row>
    <row r="299" spans="1:21" ht="14.4" x14ac:dyDescent="0.25">
      <c r="A299" s="69">
        <v>225</v>
      </c>
      <c r="B299" s="70" t="s">
        <v>497</v>
      </c>
      <c r="C299" s="70">
        <v>5</v>
      </c>
      <c r="D299" s="70">
        <v>5</v>
      </c>
      <c r="E299" s="70">
        <v>78</v>
      </c>
      <c r="F299" s="70" t="s">
        <v>26</v>
      </c>
      <c r="G299" s="71">
        <v>43.66</v>
      </c>
      <c r="H299" s="65">
        <f t="array" ref="H299">INDEX(Settings!$B$3:$B$7, D299)</f>
        <v>6700000</v>
      </c>
      <c r="I299" s="65">
        <f t="shared" si="67"/>
        <v>292522000</v>
      </c>
      <c r="J299" s="65">
        <f>I299*Settings!$B$2</f>
        <v>58504400</v>
      </c>
      <c r="K299" s="65">
        <f t="shared" si="64"/>
        <v>234017600</v>
      </c>
      <c r="L299" s="36" t="s">
        <v>291</v>
      </c>
      <c r="M299" s="73"/>
      <c r="N299" s="74"/>
      <c r="O299" s="74"/>
      <c r="P299" s="74"/>
      <c r="Q299" s="75"/>
      <c r="R299" s="74"/>
      <c r="S299" s="74"/>
      <c r="T299" s="75"/>
      <c r="U299" s="76"/>
    </row>
    <row r="300" spans="1:21" ht="14.4" x14ac:dyDescent="0.25">
      <c r="A300" s="69">
        <v>226</v>
      </c>
      <c r="B300" s="70" t="s">
        <v>497</v>
      </c>
      <c r="C300" s="70">
        <v>5</v>
      </c>
      <c r="D300" s="70">
        <v>5</v>
      </c>
      <c r="E300" s="77">
        <v>79</v>
      </c>
      <c r="F300" s="70" t="s">
        <v>29</v>
      </c>
      <c r="G300" s="71">
        <v>32.9</v>
      </c>
      <c r="H300" s="65">
        <f t="array" ref="H300">INDEX(Settings!$B$3:$B$7, D300)</f>
        <v>6700000</v>
      </c>
      <c r="I300" s="65">
        <f t="shared" si="67"/>
        <v>220430000</v>
      </c>
      <c r="J300" s="65">
        <f>I300*Settings!$B$2</f>
        <v>44086000</v>
      </c>
      <c r="K300" s="65">
        <f t="shared" si="64"/>
        <v>176344000</v>
      </c>
      <c r="L300" s="36" t="s">
        <v>291</v>
      </c>
      <c r="M300" s="73"/>
      <c r="N300" s="74"/>
      <c r="O300" s="74"/>
      <c r="P300" s="74"/>
      <c r="Q300" s="75"/>
      <c r="R300" s="74"/>
      <c r="S300" s="74"/>
      <c r="T300" s="75"/>
      <c r="U300" s="76"/>
    </row>
    <row r="301" spans="1:21" ht="14.4" x14ac:dyDescent="0.25">
      <c r="A301" s="69">
        <v>226</v>
      </c>
      <c r="B301" s="70" t="s">
        <v>497</v>
      </c>
      <c r="C301" s="70">
        <v>5</v>
      </c>
      <c r="D301" s="77">
        <v>5</v>
      </c>
      <c r="E301" s="70">
        <v>80</v>
      </c>
      <c r="F301" s="70" t="s">
        <v>29</v>
      </c>
      <c r="G301" s="71">
        <v>32.9</v>
      </c>
      <c r="H301" s="65">
        <f t="array" ref="H301">INDEX(Settings!$B$3:$B$7, D301)</f>
        <v>6700000</v>
      </c>
      <c r="I301" s="65">
        <f t="shared" si="67"/>
        <v>220430000</v>
      </c>
      <c r="J301" s="65">
        <f>I301*Settings!$B$2</f>
        <v>44086000</v>
      </c>
      <c r="K301" s="65">
        <f t="shared" si="64"/>
        <v>176344000</v>
      </c>
      <c r="L301" s="36" t="s">
        <v>291</v>
      </c>
      <c r="M301" s="73"/>
      <c r="N301" s="74"/>
      <c r="O301" s="74"/>
      <c r="P301" s="74"/>
      <c r="Q301" s="75"/>
      <c r="R301" s="74"/>
      <c r="S301" s="74"/>
      <c r="T301" s="75"/>
      <c r="U301" s="76"/>
    </row>
    <row r="302" spans="1:21" ht="14.4" x14ac:dyDescent="0.25">
      <c r="A302" s="77">
        <v>224</v>
      </c>
      <c r="B302" s="77" t="s">
        <v>495</v>
      </c>
      <c r="C302" s="70">
        <v>6</v>
      </c>
      <c r="D302" s="70">
        <v>1</v>
      </c>
      <c r="E302" s="70">
        <v>81</v>
      </c>
      <c r="F302" s="70" t="s">
        <v>29</v>
      </c>
      <c r="G302" s="78">
        <v>32.9</v>
      </c>
      <c r="H302" s="65">
        <f t="array" ref="H302">INDEX(Settings!$B$3:$B$7, D302)</f>
        <v>7700000</v>
      </c>
      <c r="I302" s="65">
        <f t="shared" si="67"/>
        <v>253330000</v>
      </c>
      <c r="J302" s="65">
        <f>I302*Settings!$B$2</f>
        <v>50666000</v>
      </c>
      <c r="K302" s="65">
        <f t="shared" si="64"/>
        <v>202664000</v>
      </c>
      <c r="L302" s="36" t="s">
        <v>291</v>
      </c>
      <c r="M302" s="73"/>
      <c r="N302" s="74"/>
      <c r="O302" s="74"/>
      <c r="P302" s="74"/>
      <c r="Q302" s="75"/>
      <c r="R302" s="74"/>
      <c r="S302" s="74"/>
      <c r="T302" s="75"/>
      <c r="U302" s="76"/>
    </row>
    <row r="303" spans="1:21" ht="14.4" x14ac:dyDescent="0.25">
      <c r="A303" s="69">
        <v>225</v>
      </c>
      <c r="B303" s="70" t="s">
        <v>497</v>
      </c>
      <c r="C303" s="70">
        <v>6</v>
      </c>
      <c r="D303" s="70">
        <v>1</v>
      </c>
      <c r="E303" s="70">
        <v>82</v>
      </c>
      <c r="F303" s="70" t="s">
        <v>26</v>
      </c>
      <c r="G303" s="71">
        <v>43.66</v>
      </c>
      <c r="H303" s="65">
        <f t="array" ref="H303">INDEX(Settings!$B$3:$B$7, D303)</f>
        <v>7700000</v>
      </c>
      <c r="I303" s="65">
        <f t="shared" si="67"/>
        <v>336182000</v>
      </c>
      <c r="J303" s="65">
        <f>I303*Settings!$B$2</f>
        <v>67236400</v>
      </c>
      <c r="K303" s="65">
        <f t="shared" si="64"/>
        <v>268945600</v>
      </c>
      <c r="L303" s="36" t="s">
        <v>291</v>
      </c>
      <c r="M303" s="73"/>
      <c r="N303" s="74"/>
      <c r="O303" s="74"/>
      <c r="P303" s="74"/>
      <c r="Q303" s="75"/>
      <c r="R303" s="74"/>
      <c r="S303" s="74"/>
      <c r="T303" s="75"/>
      <c r="U303" s="76"/>
    </row>
    <row r="304" spans="1:21" ht="14.4" x14ac:dyDescent="0.25">
      <c r="A304" s="69">
        <v>226</v>
      </c>
      <c r="B304" s="70" t="s">
        <v>497</v>
      </c>
      <c r="C304" s="70">
        <v>6</v>
      </c>
      <c r="D304" s="70">
        <v>1</v>
      </c>
      <c r="E304" s="77">
        <v>83</v>
      </c>
      <c r="F304" s="70" t="s">
        <v>29</v>
      </c>
      <c r="G304" s="71">
        <v>32.9</v>
      </c>
      <c r="H304" s="65">
        <f t="array" ref="H304">INDEX(Settings!$B$3:$B$7, D304)</f>
        <v>7700000</v>
      </c>
      <c r="I304" s="65">
        <f t="shared" si="67"/>
        <v>253330000</v>
      </c>
      <c r="J304" s="65">
        <f>I304*Settings!$B$2</f>
        <v>50666000</v>
      </c>
      <c r="K304" s="65">
        <f t="shared" si="64"/>
        <v>202664000</v>
      </c>
      <c r="L304" s="36" t="s">
        <v>291</v>
      </c>
      <c r="M304" s="73"/>
      <c r="N304" s="74"/>
      <c r="O304" s="74"/>
      <c r="P304" s="74"/>
      <c r="Q304" s="75"/>
      <c r="R304" s="74"/>
      <c r="S304" s="74"/>
      <c r="T304" s="75"/>
      <c r="U304" s="76"/>
    </row>
    <row r="305" spans="1:21" ht="14.4" x14ac:dyDescent="0.25">
      <c r="A305" s="69">
        <v>226</v>
      </c>
      <c r="B305" s="70" t="s">
        <v>497</v>
      </c>
      <c r="C305" s="70">
        <v>6</v>
      </c>
      <c r="D305" s="70">
        <v>1</v>
      </c>
      <c r="E305" s="70">
        <v>84</v>
      </c>
      <c r="F305" s="70" t="s">
        <v>29</v>
      </c>
      <c r="G305" s="71">
        <v>32.9</v>
      </c>
      <c r="H305" s="65">
        <f t="array" ref="H305">INDEX(Settings!$B$3:$B$7, D305)</f>
        <v>7700000</v>
      </c>
      <c r="I305" s="65">
        <f t="shared" si="67"/>
        <v>253330000</v>
      </c>
      <c r="J305" s="65">
        <f>I305*Settings!$B$2</f>
        <v>50666000</v>
      </c>
      <c r="K305" s="65">
        <f t="shared" si="64"/>
        <v>202664000</v>
      </c>
      <c r="L305" s="36" t="s">
        <v>291</v>
      </c>
      <c r="M305" s="73"/>
      <c r="N305" s="74"/>
      <c r="O305" s="74"/>
      <c r="P305" s="74"/>
      <c r="Q305" s="75"/>
      <c r="R305" s="74"/>
      <c r="S305" s="74"/>
      <c r="T305" s="75"/>
      <c r="U305" s="76"/>
    </row>
    <row r="306" spans="1:21" ht="14.4" x14ac:dyDescent="0.25">
      <c r="A306" s="77">
        <v>224</v>
      </c>
      <c r="B306" s="77" t="s">
        <v>495</v>
      </c>
      <c r="C306" s="70">
        <v>6</v>
      </c>
      <c r="D306" s="70">
        <v>2</v>
      </c>
      <c r="E306" s="70">
        <v>85</v>
      </c>
      <c r="F306" s="70" t="s">
        <v>29</v>
      </c>
      <c r="G306" s="78">
        <v>32.9</v>
      </c>
      <c r="H306" s="65">
        <f t="array" ref="H306">INDEX(Settings!$B$3:$B$7, D306)</f>
        <v>7800000</v>
      </c>
      <c r="I306" s="65">
        <f t="shared" si="67"/>
        <v>256620000</v>
      </c>
      <c r="J306" s="65">
        <f>I306*Settings!$B$2</f>
        <v>51324000</v>
      </c>
      <c r="K306" s="65">
        <f t="shared" si="64"/>
        <v>205296000</v>
      </c>
      <c r="L306" s="36" t="s">
        <v>291</v>
      </c>
      <c r="M306" s="73"/>
      <c r="N306" s="74"/>
      <c r="O306" s="74"/>
      <c r="P306" s="74"/>
      <c r="Q306" s="75"/>
      <c r="R306" s="74"/>
      <c r="S306" s="74"/>
      <c r="T306" s="75"/>
      <c r="U306" s="76"/>
    </row>
    <row r="307" spans="1:21" ht="14.4" x14ac:dyDescent="0.25">
      <c r="A307" s="69">
        <v>225</v>
      </c>
      <c r="B307" s="70" t="s">
        <v>497</v>
      </c>
      <c r="C307" s="70">
        <v>6</v>
      </c>
      <c r="D307" s="70">
        <v>2</v>
      </c>
      <c r="E307" s="70">
        <v>86</v>
      </c>
      <c r="F307" s="70" t="s">
        <v>26</v>
      </c>
      <c r="G307" s="71">
        <v>43.66</v>
      </c>
      <c r="H307" s="65">
        <f t="array" ref="H307">INDEX(Settings!$B$3:$B$7, D307)</f>
        <v>7800000</v>
      </c>
      <c r="I307" s="65">
        <f t="shared" si="67"/>
        <v>340548000</v>
      </c>
      <c r="J307" s="65">
        <f>I307*Settings!$B$2</f>
        <v>68109600</v>
      </c>
      <c r="K307" s="65">
        <f t="shared" si="64"/>
        <v>272438400</v>
      </c>
      <c r="L307" s="36" t="s">
        <v>291</v>
      </c>
      <c r="M307" s="73"/>
      <c r="N307" s="74"/>
      <c r="O307" s="74"/>
      <c r="P307" s="74"/>
      <c r="Q307" s="75"/>
      <c r="R307" s="74"/>
      <c r="S307" s="74"/>
      <c r="T307" s="75"/>
      <c r="U307" s="76"/>
    </row>
    <row r="308" spans="1:21" ht="14.4" x14ac:dyDescent="0.25">
      <c r="A308" s="69">
        <v>226</v>
      </c>
      <c r="B308" s="70" t="s">
        <v>497</v>
      </c>
      <c r="C308" s="70">
        <v>6</v>
      </c>
      <c r="D308" s="70">
        <v>2</v>
      </c>
      <c r="E308" s="77">
        <v>87</v>
      </c>
      <c r="F308" s="70" t="s">
        <v>29</v>
      </c>
      <c r="G308" s="71">
        <v>32.9</v>
      </c>
      <c r="H308" s="65">
        <f t="array" ref="H308">INDEX(Settings!$B$3:$B$7, D308)</f>
        <v>7800000</v>
      </c>
      <c r="I308" s="65">
        <f t="shared" si="67"/>
        <v>256620000</v>
      </c>
      <c r="J308" s="65">
        <f>I308*Settings!$B$2</f>
        <v>51324000</v>
      </c>
      <c r="K308" s="65">
        <f t="shared" si="64"/>
        <v>205296000</v>
      </c>
      <c r="L308" s="36" t="s">
        <v>291</v>
      </c>
      <c r="M308" s="73"/>
      <c r="N308" s="74"/>
      <c r="O308" s="74"/>
      <c r="P308" s="74"/>
      <c r="Q308" s="75"/>
      <c r="R308" s="74"/>
      <c r="S308" s="74"/>
      <c r="T308" s="75"/>
      <c r="U308" s="76"/>
    </row>
    <row r="309" spans="1:21" ht="14.4" x14ac:dyDescent="0.25">
      <c r="A309" s="69">
        <v>226</v>
      </c>
      <c r="B309" s="70" t="s">
        <v>497</v>
      </c>
      <c r="C309" s="70">
        <v>6</v>
      </c>
      <c r="D309" s="70">
        <v>2</v>
      </c>
      <c r="E309" s="70">
        <v>88</v>
      </c>
      <c r="F309" s="70" t="s">
        <v>29</v>
      </c>
      <c r="G309" s="71">
        <v>32.9</v>
      </c>
      <c r="H309" s="65">
        <f t="array" ref="H309">INDEX(Settings!$B$3:$B$7, D309)</f>
        <v>7800000</v>
      </c>
      <c r="I309" s="65">
        <f t="shared" si="67"/>
        <v>256620000</v>
      </c>
      <c r="J309" s="65">
        <f>I309*Settings!$B$2</f>
        <v>51324000</v>
      </c>
      <c r="K309" s="65">
        <f t="shared" si="64"/>
        <v>205296000</v>
      </c>
      <c r="L309" s="36" t="s">
        <v>291</v>
      </c>
      <c r="M309" s="73"/>
      <c r="N309" s="74"/>
      <c r="O309" s="74"/>
      <c r="P309" s="74"/>
      <c r="Q309" s="75"/>
      <c r="R309" s="74"/>
      <c r="S309" s="74"/>
      <c r="T309" s="75"/>
      <c r="U309" s="76"/>
    </row>
    <row r="310" spans="1:21" ht="14.4" x14ac:dyDescent="0.25">
      <c r="A310" s="77">
        <v>224</v>
      </c>
      <c r="B310" s="77" t="s">
        <v>495</v>
      </c>
      <c r="C310" s="70">
        <v>6</v>
      </c>
      <c r="D310" s="77">
        <v>3</v>
      </c>
      <c r="E310" s="70">
        <v>89</v>
      </c>
      <c r="F310" s="70" t="s">
        <v>29</v>
      </c>
      <c r="G310" s="78">
        <v>32.9</v>
      </c>
      <c r="H310" s="65">
        <f t="array" ref="H310">INDEX(Settings!$B$3:$B$7, D310)</f>
        <v>7300000</v>
      </c>
      <c r="I310" s="65">
        <f t="shared" si="67"/>
        <v>240170000</v>
      </c>
      <c r="J310" s="65">
        <f>I310*Settings!$B$2</f>
        <v>48034000</v>
      </c>
      <c r="K310" s="65">
        <f t="shared" si="64"/>
        <v>192136000</v>
      </c>
      <c r="L310" s="36" t="s">
        <v>291</v>
      </c>
      <c r="M310" s="73"/>
      <c r="N310" s="74"/>
      <c r="O310" s="74"/>
      <c r="P310" s="74"/>
      <c r="Q310" s="75"/>
      <c r="R310" s="74"/>
      <c r="S310" s="74"/>
      <c r="T310" s="75"/>
      <c r="U310" s="76"/>
    </row>
    <row r="311" spans="1:21" ht="14.4" x14ac:dyDescent="0.25">
      <c r="A311" s="69">
        <v>225</v>
      </c>
      <c r="B311" s="70" t="s">
        <v>497</v>
      </c>
      <c r="C311" s="70">
        <v>6</v>
      </c>
      <c r="D311" s="70">
        <v>3</v>
      </c>
      <c r="E311" s="70">
        <v>90</v>
      </c>
      <c r="F311" s="70" t="s">
        <v>26</v>
      </c>
      <c r="G311" s="71">
        <v>43.66</v>
      </c>
      <c r="H311" s="65">
        <f t="array" ref="H311">INDEX(Settings!$B$3:$B$7, D311)</f>
        <v>7300000</v>
      </c>
      <c r="I311" s="65">
        <f t="shared" si="67"/>
        <v>318718000</v>
      </c>
      <c r="J311" s="65">
        <f>I311*Settings!$B$2</f>
        <v>63743600</v>
      </c>
      <c r="K311" s="65">
        <f t="shared" si="64"/>
        <v>254974400</v>
      </c>
      <c r="L311" s="36" t="s">
        <v>291</v>
      </c>
      <c r="M311" s="73"/>
      <c r="N311" s="74"/>
      <c r="O311" s="74"/>
      <c r="P311" s="74"/>
      <c r="Q311" s="75"/>
      <c r="R311" s="74"/>
      <c r="S311" s="74"/>
      <c r="T311" s="75"/>
      <c r="U311" s="76"/>
    </row>
    <row r="312" spans="1:21" ht="14.4" x14ac:dyDescent="0.25">
      <c r="A312" s="69">
        <v>226</v>
      </c>
      <c r="B312" s="70" t="s">
        <v>497</v>
      </c>
      <c r="C312" s="70">
        <v>6</v>
      </c>
      <c r="D312" s="77">
        <v>3</v>
      </c>
      <c r="E312" s="77">
        <v>91</v>
      </c>
      <c r="F312" s="70" t="s">
        <v>29</v>
      </c>
      <c r="G312" s="71">
        <v>32.9</v>
      </c>
      <c r="H312" s="65">
        <f t="array" ref="H312">INDEX(Settings!$B$3:$B$7, D312)</f>
        <v>7300000</v>
      </c>
      <c r="I312" s="65">
        <f t="shared" si="67"/>
        <v>240170000</v>
      </c>
      <c r="J312" s="65">
        <f>I312*Settings!$B$2</f>
        <v>48034000</v>
      </c>
      <c r="K312" s="65">
        <f t="shared" si="64"/>
        <v>192136000</v>
      </c>
      <c r="L312" s="36" t="s">
        <v>291</v>
      </c>
      <c r="M312" s="73"/>
      <c r="N312" s="74"/>
      <c r="O312" s="74"/>
      <c r="P312" s="74"/>
      <c r="Q312" s="75"/>
      <c r="R312" s="74"/>
      <c r="S312" s="74"/>
      <c r="T312" s="75"/>
      <c r="U312" s="76"/>
    </row>
    <row r="313" spans="1:21" ht="14.4" x14ac:dyDescent="0.25">
      <c r="A313" s="69">
        <v>226</v>
      </c>
      <c r="B313" s="70" t="s">
        <v>497</v>
      </c>
      <c r="C313" s="70">
        <v>6</v>
      </c>
      <c r="D313" s="70">
        <v>3</v>
      </c>
      <c r="E313" s="70">
        <v>92</v>
      </c>
      <c r="F313" s="70" t="s">
        <v>29</v>
      </c>
      <c r="G313" s="71">
        <v>32.9</v>
      </c>
      <c r="H313" s="65">
        <f t="array" ref="H313">INDEX(Settings!$B$3:$B$7, D313)</f>
        <v>7300000</v>
      </c>
      <c r="I313" s="65">
        <f t="shared" si="67"/>
        <v>240170000</v>
      </c>
      <c r="J313" s="65">
        <f>I313*Settings!$B$2</f>
        <v>48034000</v>
      </c>
      <c r="K313" s="65">
        <f t="shared" si="64"/>
        <v>192136000</v>
      </c>
      <c r="L313" s="36" t="s">
        <v>291</v>
      </c>
      <c r="M313" s="73"/>
      <c r="N313" s="74"/>
      <c r="O313" s="74"/>
      <c r="P313" s="74"/>
      <c r="Q313" s="75"/>
      <c r="R313" s="74"/>
      <c r="S313" s="74"/>
      <c r="T313" s="75"/>
      <c r="U313" s="76"/>
    </row>
    <row r="314" spans="1:21" ht="14.4" x14ac:dyDescent="0.25">
      <c r="A314" s="77">
        <v>224</v>
      </c>
      <c r="B314" s="77" t="s">
        <v>495</v>
      </c>
      <c r="C314" s="70">
        <v>6</v>
      </c>
      <c r="D314" s="77">
        <v>4</v>
      </c>
      <c r="E314" s="70">
        <v>93</v>
      </c>
      <c r="F314" s="70" t="s">
        <v>29</v>
      </c>
      <c r="G314" s="78">
        <v>32.9</v>
      </c>
      <c r="H314" s="65">
        <f t="array" ref="H314">INDEX(Settings!$B$3:$B$7, D314)</f>
        <v>7000000</v>
      </c>
      <c r="I314" s="65">
        <f t="shared" si="67"/>
        <v>230300000</v>
      </c>
      <c r="J314" s="65">
        <f>I314*Settings!$B$2</f>
        <v>46060000</v>
      </c>
      <c r="K314" s="65">
        <f t="shared" si="64"/>
        <v>184240000</v>
      </c>
      <c r="L314" s="36" t="s">
        <v>291</v>
      </c>
      <c r="M314" s="73"/>
      <c r="N314" s="74"/>
      <c r="O314" s="74"/>
      <c r="P314" s="74"/>
      <c r="Q314" s="75"/>
      <c r="R314" s="74"/>
      <c r="S314" s="74"/>
      <c r="T314" s="75"/>
      <c r="U314" s="76"/>
    </row>
    <row r="315" spans="1:21" ht="14.4" x14ac:dyDescent="0.25">
      <c r="A315" s="69">
        <v>225</v>
      </c>
      <c r="B315" s="70" t="s">
        <v>497</v>
      </c>
      <c r="C315" s="70">
        <v>6</v>
      </c>
      <c r="D315" s="70">
        <v>4</v>
      </c>
      <c r="E315" s="70">
        <v>94</v>
      </c>
      <c r="F315" s="70" t="s">
        <v>26</v>
      </c>
      <c r="G315" s="71">
        <v>43.66</v>
      </c>
      <c r="H315" s="65">
        <f t="array" ref="H315">INDEX(Settings!$B$3:$B$7, D315)</f>
        <v>7000000</v>
      </c>
      <c r="I315" s="65">
        <f t="shared" si="67"/>
        <v>305620000</v>
      </c>
      <c r="J315" s="65">
        <f>I315*Settings!$B$2</f>
        <v>61124000</v>
      </c>
      <c r="K315" s="65">
        <f t="shared" si="64"/>
        <v>244496000</v>
      </c>
      <c r="L315" s="36" t="s">
        <v>291</v>
      </c>
      <c r="M315" s="73"/>
      <c r="N315" s="74"/>
      <c r="O315" s="74"/>
      <c r="P315" s="74"/>
      <c r="Q315" s="75"/>
      <c r="R315" s="74"/>
      <c r="S315" s="74"/>
      <c r="T315" s="75"/>
      <c r="U315" s="76"/>
    </row>
    <row r="316" spans="1:21" ht="14.4" x14ac:dyDescent="0.25">
      <c r="A316" s="69">
        <v>226</v>
      </c>
      <c r="B316" s="70" t="s">
        <v>497</v>
      </c>
      <c r="C316" s="70">
        <v>6</v>
      </c>
      <c r="D316" s="77">
        <v>4</v>
      </c>
      <c r="E316" s="77">
        <v>95</v>
      </c>
      <c r="F316" s="70" t="s">
        <v>29</v>
      </c>
      <c r="G316" s="71">
        <v>32.9</v>
      </c>
      <c r="H316" s="65">
        <f t="array" ref="H316">INDEX(Settings!$B$3:$B$7, D316)</f>
        <v>7000000</v>
      </c>
      <c r="I316" s="65">
        <f t="shared" si="67"/>
        <v>230300000</v>
      </c>
      <c r="J316" s="65">
        <f>I316*Settings!$B$2</f>
        <v>46060000</v>
      </c>
      <c r="K316" s="65">
        <f t="shared" si="64"/>
        <v>184240000</v>
      </c>
      <c r="L316" s="36" t="s">
        <v>291</v>
      </c>
      <c r="M316" s="73"/>
      <c r="N316" s="74"/>
      <c r="O316" s="74"/>
      <c r="P316" s="74"/>
      <c r="Q316" s="75"/>
      <c r="R316" s="74"/>
      <c r="S316" s="74"/>
      <c r="T316" s="75"/>
      <c r="U316" s="76"/>
    </row>
    <row r="317" spans="1:21" ht="14.4" x14ac:dyDescent="0.25">
      <c r="A317" s="69">
        <v>226</v>
      </c>
      <c r="B317" s="70" t="s">
        <v>497</v>
      </c>
      <c r="C317" s="70">
        <v>6</v>
      </c>
      <c r="D317" s="70">
        <v>4</v>
      </c>
      <c r="E317" s="70">
        <v>96</v>
      </c>
      <c r="F317" s="70" t="s">
        <v>29</v>
      </c>
      <c r="G317" s="71">
        <v>32.9</v>
      </c>
      <c r="H317" s="65">
        <f t="array" ref="H317">INDEX(Settings!$B$3:$B$7, D317)</f>
        <v>7000000</v>
      </c>
      <c r="I317" s="65">
        <f t="shared" si="67"/>
        <v>230300000</v>
      </c>
      <c r="J317" s="65">
        <f>I317*Settings!$B$2</f>
        <v>46060000</v>
      </c>
      <c r="K317" s="65">
        <f t="shared" si="64"/>
        <v>184240000</v>
      </c>
      <c r="L317" s="36" t="s">
        <v>291</v>
      </c>
      <c r="M317" s="73"/>
      <c r="N317" s="74"/>
      <c r="O317" s="74"/>
      <c r="P317" s="74"/>
      <c r="Q317" s="75"/>
      <c r="R317" s="74"/>
      <c r="S317" s="74"/>
      <c r="T317" s="75"/>
      <c r="U317" s="76"/>
    </row>
    <row r="318" spans="1:21" ht="14.4" x14ac:dyDescent="0.25">
      <c r="A318" s="77">
        <v>224</v>
      </c>
      <c r="B318" s="77" t="s">
        <v>495</v>
      </c>
      <c r="C318" s="70">
        <v>6</v>
      </c>
      <c r="D318" s="77">
        <v>5</v>
      </c>
      <c r="E318" s="70">
        <v>97</v>
      </c>
      <c r="F318" s="70" t="s">
        <v>29</v>
      </c>
      <c r="G318" s="78">
        <v>32.9</v>
      </c>
      <c r="H318" s="65">
        <f t="array" ref="H318">INDEX(Settings!$B$3:$B$7, D318)</f>
        <v>6700000</v>
      </c>
      <c r="I318" s="65">
        <f t="shared" si="67"/>
        <v>220430000</v>
      </c>
      <c r="J318" s="65">
        <f>I318*Settings!$B$2</f>
        <v>44086000</v>
      </c>
      <c r="K318" s="65">
        <f t="shared" si="64"/>
        <v>176344000</v>
      </c>
      <c r="L318" s="36" t="s">
        <v>291</v>
      </c>
      <c r="M318" s="73"/>
      <c r="N318" s="74"/>
      <c r="O318" s="74"/>
      <c r="P318" s="74"/>
      <c r="Q318" s="75"/>
      <c r="R318" s="74"/>
      <c r="S318" s="74"/>
      <c r="T318" s="75"/>
      <c r="U318" s="76"/>
    </row>
    <row r="319" spans="1:21" ht="14.4" x14ac:dyDescent="0.25">
      <c r="A319" s="69">
        <v>225</v>
      </c>
      <c r="B319" s="70" t="s">
        <v>497</v>
      </c>
      <c r="C319" s="70">
        <v>6</v>
      </c>
      <c r="D319" s="70">
        <v>5</v>
      </c>
      <c r="E319" s="70">
        <v>98</v>
      </c>
      <c r="F319" s="70" t="s">
        <v>26</v>
      </c>
      <c r="G319" s="71">
        <v>43.66</v>
      </c>
      <c r="H319" s="65">
        <f t="array" ref="H319">INDEX(Settings!$B$3:$B$7, D319)</f>
        <v>6700000</v>
      </c>
      <c r="I319" s="65">
        <f t="shared" si="67"/>
        <v>292522000</v>
      </c>
      <c r="J319" s="65">
        <f>I319*Settings!$B$2</f>
        <v>58504400</v>
      </c>
      <c r="K319" s="65">
        <f t="shared" si="64"/>
        <v>234017600</v>
      </c>
      <c r="L319" s="36" t="s">
        <v>291</v>
      </c>
      <c r="M319" s="73"/>
      <c r="N319" s="74"/>
      <c r="O319" s="74"/>
      <c r="P319" s="74"/>
      <c r="Q319" s="75"/>
      <c r="R319" s="74"/>
      <c r="S319" s="74"/>
      <c r="T319" s="75"/>
      <c r="U319" s="76"/>
    </row>
    <row r="320" spans="1:21" ht="14.4" x14ac:dyDescent="0.25">
      <c r="A320" s="69">
        <v>226</v>
      </c>
      <c r="B320" s="70" t="s">
        <v>497</v>
      </c>
      <c r="C320" s="70">
        <v>6</v>
      </c>
      <c r="D320" s="70">
        <v>5</v>
      </c>
      <c r="E320" s="77">
        <v>99</v>
      </c>
      <c r="F320" s="70" t="s">
        <v>29</v>
      </c>
      <c r="G320" s="71">
        <v>32.9</v>
      </c>
      <c r="H320" s="65">
        <f t="array" ref="H320">INDEX(Settings!$B$3:$B$7, D320)</f>
        <v>6700000</v>
      </c>
      <c r="I320" s="65">
        <f t="shared" si="67"/>
        <v>220430000</v>
      </c>
      <c r="J320" s="65">
        <f>I320*Settings!$B$2</f>
        <v>44086000</v>
      </c>
      <c r="K320" s="65">
        <f t="shared" si="64"/>
        <v>176344000</v>
      </c>
      <c r="L320" s="36" t="s">
        <v>291</v>
      </c>
      <c r="M320" s="73"/>
      <c r="N320" s="74"/>
      <c r="O320" s="74"/>
      <c r="P320" s="74"/>
      <c r="Q320" s="75"/>
      <c r="R320" s="74"/>
      <c r="S320" s="74"/>
      <c r="T320" s="75"/>
      <c r="U320" s="76"/>
    </row>
    <row r="321" spans="1:21" ht="14.4" x14ac:dyDescent="0.25">
      <c r="A321" s="69">
        <v>226</v>
      </c>
      <c r="B321" s="70" t="s">
        <v>497</v>
      </c>
      <c r="C321" s="70">
        <v>6</v>
      </c>
      <c r="D321" s="77">
        <v>5</v>
      </c>
      <c r="E321" s="70">
        <v>100</v>
      </c>
      <c r="F321" s="70" t="s">
        <v>29</v>
      </c>
      <c r="G321" s="71">
        <v>32.9</v>
      </c>
      <c r="H321" s="65">
        <f t="array" ref="H321">INDEX(Settings!$B$3:$B$7, D321)</f>
        <v>6700000</v>
      </c>
      <c r="I321" s="65">
        <f t="shared" si="67"/>
        <v>220430000</v>
      </c>
      <c r="J321" s="65">
        <f>I321*Settings!$B$2</f>
        <v>44086000</v>
      </c>
      <c r="K321" s="65">
        <f t="shared" si="64"/>
        <v>176344000</v>
      </c>
      <c r="L321" s="36" t="s">
        <v>291</v>
      </c>
      <c r="M321" s="73"/>
      <c r="N321" s="74"/>
      <c r="O321" s="74"/>
      <c r="P321" s="74"/>
      <c r="Q321" s="75"/>
      <c r="R321" s="74"/>
      <c r="S321" s="74"/>
      <c r="T321" s="75"/>
      <c r="U321" s="76"/>
    </row>
    <row r="322" spans="1:21" ht="13.2" x14ac:dyDescent="0.25"/>
    <row r="323" spans="1:21" ht="13.2" x14ac:dyDescent="0.25"/>
    <row r="324" spans="1:21" ht="13.2" x14ac:dyDescent="0.25"/>
    <row r="325" spans="1:21" ht="13.2" x14ac:dyDescent="0.25"/>
    <row r="326" spans="1:21" ht="13.2" x14ac:dyDescent="0.25"/>
    <row r="327" spans="1:21" ht="13.2" x14ac:dyDescent="0.25"/>
    <row r="328" spans="1:21" ht="13.2" x14ac:dyDescent="0.25"/>
    <row r="329" spans="1:21" ht="13.2" x14ac:dyDescent="0.25"/>
    <row r="330" spans="1:21" ht="13.2" x14ac:dyDescent="0.25"/>
    <row r="331" spans="1:21" ht="13.2" x14ac:dyDescent="0.25"/>
    <row r="332" spans="1:21" ht="13.2" x14ac:dyDescent="0.25"/>
    <row r="333" spans="1:21" ht="13.2" x14ac:dyDescent="0.25"/>
    <row r="334" spans="1:21" ht="13.2" x14ac:dyDescent="0.25"/>
    <row r="335" spans="1:21" ht="13.2" x14ac:dyDescent="0.25"/>
    <row r="336" spans="1:21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  <row r="1001" ht="13.2" x14ac:dyDescent="0.25"/>
  </sheetData>
  <autoFilter ref="A1:Z321" xr:uid="{00000000-0009-0000-0000-000000000000}"/>
  <conditionalFormatting sqref="L2:L321">
    <cfRule type="expression" dxfId="3" priority="1">
      <formula>L2="Bo'sh"</formula>
    </cfRule>
    <cfRule type="expression" dxfId="2" priority="2">
      <formula>L2="Band"</formula>
    </cfRule>
    <cfRule type="expression" dxfId="1" priority="3">
      <formula>L2="Sotildi"</formula>
    </cfRule>
  </conditionalFormatting>
  <conditionalFormatting sqref="Y2:Z236 T9">
    <cfRule type="notContainsBlanks" dxfId="0" priority="4">
      <formula>LEN(TRIM(Y2))&gt;0</formula>
    </cfRule>
  </conditionalFormatting>
  <dataValidations count="1">
    <dataValidation type="list" allowBlank="1" sqref="L2:L321" xr:uid="{00000000-0002-0000-0000-000000000000}">
      <formula1>"Bosh,Band,Sotildi,Shartnoma"</formula1>
    </dataValidation>
  </dataValidations>
  <pageMargins left="0.75" right="0.75" top="1" bottom="1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7"/>
  <sheetViews>
    <sheetView workbookViewId="0"/>
  </sheetViews>
  <sheetFormatPr defaultColWidth="12.6640625" defaultRowHeight="15.75" customHeight="1" x14ac:dyDescent="0.25"/>
  <cols>
    <col min="1" max="1" width="19.77734375" customWidth="1"/>
    <col min="3" max="3" width="21.77734375" customWidth="1"/>
    <col min="4" max="4" width="19.33203125" customWidth="1"/>
    <col min="5" max="5" width="18.88671875" customWidth="1"/>
  </cols>
  <sheetData>
    <row r="1" spans="1:5" x14ac:dyDescent="0.25">
      <c r="A1" s="2" t="s">
        <v>498</v>
      </c>
      <c r="B1" s="2" t="s">
        <v>499</v>
      </c>
      <c r="C1" s="2" t="s">
        <v>500</v>
      </c>
      <c r="D1" s="80" t="s">
        <v>501</v>
      </c>
      <c r="E1" s="2" t="s">
        <v>502</v>
      </c>
    </row>
    <row r="2" spans="1:5" x14ac:dyDescent="0.25">
      <c r="A2" s="10" t="s">
        <v>503</v>
      </c>
      <c r="B2" s="81" t="s">
        <v>504</v>
      </c>
      <c r="C2" s="10" t="s">
        <v>505</v>
      </c>
      <c r="D2" s="10" t="s">
        <v>63</v>
      </c>
    </row>
    <row r="3" spans="1:5" x14ac:dyDescent="0.25">
      <c r="A3" s="10" t="s">
        <v>506</v>
      </c>
      <c r="B3" s="81">
        <v>770147747</v>
      </c>
      <c r="C3" s="10" t="s">
        <v>507</v>
      </c>
      <c r="D3" s="10" t="s">
        <v>169</v>
      </c>
      <c r="E3" s="10">
        <v>8136738818</v>
      </c>
    </row>
    <row r="4" spans="1:5" x14ac:dyDescent="0.25">
      <c r="A4" s="10" t="s">
        <v>508</v>
      </c>
      <c r="B4" s="81">
        <v>770167747</v>
      </c>
      <c r="C4" s="10" t="s">
        <v>507</v>
      </c>
      <c r="D4" s="10" t="s">
        <v>42</v>
      </c>
      <c r="E4" s="10">
        <v>5701866738</v>
      </c>
    </row>
    <row r="5" spans="1:5" x14ac:dyDescent="0.25">
      <c r="A5" s="10" t="s">
        <v>509</v>
      </c>
      <c r="B5" s="81" t="s">
        <v>510</v>
      </c>
      <c r="C5" s="10" t="s">
        <v>511</v>
      </c>
      <c r="D5" s="10" t="s">
        <v>512</v>
      </c>
    </row>
    <row r="6" spans="1:5" x14ac:dyDescent="0.25">
      <c r="A6" s="10" t="s">
        <v>513</v>
      </c>
      <c r="B6" s="81">
        <v>772667747</v>
      </c>
      <c r="C6" s="10" t="s">
        <v>507</v>
      </c>
      <c r="D6" s="10" t="s">
        <v>512</v>
      </c>
      <c r="E6" s="10">
        <v>8429865179</v>
      </c>
    </row>
    <row r="7" spans="1:5" x14ac:dyDescent="0.25">
      <c r="A7" s="10" t="s">
        <v>514</v>
      </c>
      <c r="B7" s="81" t="s">
        <v>515</v>
      </c>
      <c r="C7" s="10" t="s">
        <v>516</v>
      </c>
      <c r="D7" s="10" t="s">
        <v>517</v>
      </c>
    </row>
  </sheetData>
  <hyperlinks>
    <hyperlink ref="D1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6640625" defaultRowHeight="15.75" customHeight="1" x14ac:dyDescent="0.25"/>
  <cols>
    <col min="1" max="1" width="31.44140625" customWidth="1"/>
    <col min="2" max="2" width="36.77734375" customWidth="1"/>
    <col min="3" max="26" width="7.6640625" customWidth="1"/>
  </cols>
  <sheetData>
    <row r="1" spans="1:2" ht="15.75" customHeight="1" x14ac:dyDescent="0.3">
      <c r="A1" s="82" t="s">
        <v>518</v>
      </c>
      <c r="B1" s="8"/>
    </row>
    <row r="2" spans="1:2" ht="15.75" customHeight="1" x14ac:dyDescent="0.3">
      <c r="A2" s="82" t="s">
        <v>519</v>
      </c>
      <c r="B2" s="83">
        <v>0.2</v>
      </c>
    </row>
    <row r="3" spans="1:2" ht="15.75" customHeight="1" x14ac:dyDescent="0.3">
      <c r="A3" s="82" t="s">
        <v>520</v>
      </c>
      <c r="B3" s="8">
        <v>7700000</v>
      </c>
    </row>
    <row r="4" spans="1:2" ht="15.75" customHeight="1" x14ac:dyDescent="0.3">
      <c r="A4" s="82" t="s">
        <v>521</v>
      </c>
      <c r="B4" s="8">
        <v>7800000</v>
      </c>
    </row>
    <row r="5" spans="1:2" ht="15.75" customHeight="1" x14ac:dyDescent="0.3">
      <c r="A5" s="82" t="s">
        <v>522</v>
      </c>
      <c r="B5" s="8">
        <v>7300000</v>
      </c>
    </row>
    <row r="6" spans="1:2" ht="15.75" customHeight="1" x14ac:dyDescent="0.3">
      <c r="A6" s="82" t="s">
        <v>523</v>
      </c>
      <c r="B6" s="8">
        <v>7000000</v>
      </c>
    </row>
    <row r="7" spans="1:2" ht="15.75" customHeight="1" x14ac:dyDescent="0.3">
      <c r="A7" s="82" t="s">
        <v>524</v>
      </c>
      <c r="B7" s="8">
        <v>6700000</v>
      </c>
    </row>
    <row r="8" spans="1:2" ht="15.75" customHeight="1" x14ac:dyDescent="0.3">
      <c r="A8" s="82" t="s">
        <v>525</v>
      </c>
      <c r="B8" s="8" t="s">
        <v>526</v>
      </c>
    </row>
    <row r="9" spans="1:2" ht="15.75" customHeight="1" x14ac:dyDescent="0.3">
      <c r="A9" s="82" t="s">
        <v>527</v>
      </c>
      <c r="B9" s="8" t="s">
        <v>528</v>
      </c>
    </row>
    <row r="10" spans="1:2" ht="15.75" customHeight="1" x14ac:dyDescent="0.3">
      <c r="A10" s="82" t="s">
        <v>529</v>
      </c>
      <c r="B10" s="8" t="s">
        <v>530</v>
      </c>
    </row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ht="13.2" x14ac:dyDescent="0.25"/>
    <row r="30" ht="13.2" x14ac:dyDescent="0.25"/>
    <row r="31" ht="13.2" x14ac:dyDescent="0.25"/>
    <row r="32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</sheetData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Uylar royxati</vt:lpstr>
      <vt:lpstr>Users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ISLOM</dc:creator>
  <cp:lastModifiedBy>Islom Azimjonov</cp:lastModifiedBy>
  <dcterms:created xsi:type="dcterms:W3CDTF">2026-07-14T12:40:01Z</dcterms:created>
  <dcterms:modified xsi:type="dcterms:W3CDTF">2026-07-14T12:40:01Z</dcterms:modified>
</cp:coreProperties>
</file>